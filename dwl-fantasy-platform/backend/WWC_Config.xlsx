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/Users/kishan/Downloads/Delulu Leagues/DWL Delulu Women's League/"/>
    </mc:Choice>
  </mc:AlternateContent>
  <xr:revisionPtr revIDLastSave="0" documentId="8_{2C3B7CB5-D92A-4357-8B1D-0F879E422BA6}" xr6:coauthVersionLast="47" xr6:coauthVersionMax="47" xr10:uidLastSave="{00000000-0000-0000-0000-000000000000}"/>
  <bookViews>
    <workbookView xWindow="0" yWindow="680" windowWidth="30240" windowHeight="18960" activeTab="2" xr2:uid="{6957E4A2-D1A9-E849-B61B-E8AC1B9AF357}"/>
  </bookViews>
  <sheets>
    <sheet name="Players" sheetId="1" r:id="rId1"/>
    <sheet name="DWLTeams" sheetId="2" r:id="rId2"/>
    <sheet name="GD" sheetId="4" r:id="rId3"/>
    <sheet name="JR" sheetId="10" r:id="rId4"/>
    <sheet name="KQ" sheetId="9" r:id="rId5"/>
    <sheet name="RR" sheetId="11" r:id="rId6"/>
    <sheet name="SS" sheetId="7" r:id="rId7"/>
    <sheet name="SGS" sheetId="5" r:id="rId8"/>
    <sheet name="VW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8" l="1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E9" i="11"/>
  <c r="E8" i="11"/>
  <c r="E7" i="11"/>
  <c r="E6" i="11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6" i="4"/>
  <c r="E7" i="4"/>
  <c r="E8" i="4"/>
  <c r="E9" i="4"/>
  <c r="E10" i="4"/>
  <c r="E11" i="4"/>
  <c r="E12" i="4"/>
  <c r="E13" i="4"/>
  <c r="E14" i="4"/>
  <c r="E15" i="4"/>
  <c r="E16" i="4"/>
  <c r="E18" i="4"/>
  <c r="E19" i="4"/>
  <c r="E20" i="4"/>
  <c r="E21" i="4"/>
  <c r="E22" i="4"/>
  <c r="E23" i="4"/>
  <c r="E17" i="4"/>
  <c r="C6" i="4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23" i="5"/>
  <c r="C22" i="5"/>
  <c r="C21" i="5"/>
  <c r="C20" i="5"/>
  <c r="C19" i="5"/>
  <c r="C11" i="5"/>
  <c r="C18" i="5"/>
  <c r="C17" i="5"/>
  <c r="C16" i="5"/>
  <c r="C15" i="5"/>
  <c r="C14" i="5"/>
  <c r="C13" i="5"/>
  <c r="C12" i="5"/>
  <c r="C10" i="5"/>
  <c r="C9" i="5"/>
  <c r="C8" i="5"/>
  <c r="C7" i="5"/>
  <c r="C6" i="5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23" i="9"/>
  <c r="C22" i="9"/>
  <c r="C21" i="9"/>
  <c r="C20" i="9"/>
  <c r="C19" i="9"/>
  <c r="C18" i="9"/>
  <c r="C17" i="9"/>
  <c r="C16" i="9"/>
  <c r="C15" i="9"/>
  <c r="C14" i="9"/>
  <c r="C13" i="9"/>
  <c r="C12" i="9"/>
  <c r="C11" i="9"/>
  <c r="C10" i="9"/>
  <c r="C9" i="9"/>
  <c r="C8" i="9"/>
  <c r="C7" i="9"/>
  <c r="C6" i="9"/>
  <c r="C23" i="10"/>
  <c r="C22" i="10"/>
  <c r="C21" i="10"/>
  <c r="C20" i="10"/>
  <c r="C19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C6" i="10"/>
  <c r="C7" i="4"/>
  <c r="C8" i="4"/>
  <c r="C9" i="4"/>
  <c r="C10" i="4"/>
  <c r="C11" i="4"/>
  <c r="C12" i="4"/>
  <c r="C13" i="4"/>
  <c r="C14" i="4"/>
  <c r="C15" i="4"/>
  <c r="C16" i="4"/>
  <c r="C18" i="4"/>
  <c r="C19" i="4"/>
  <c r="C20" i="4"/>
  <c r="C21" i="4"/>
  <c r="C22" i="4"/>
  <c r="C23" i="4"/>
  <c r="C17" i="4"/>
</calcChain>
</file>

<file path=xl/sharedStrings.xml><?xml version="1.0" encoding="utf-8"?>
<sst xmlns="http://schemas.openxmlformats.org/spreadsheetml/2006/main" count="830" uniqueCount="233">
  <si>
    <t>Player Name</t>
  </si>
  <si>
    <t>Role</t>
  </si>
  <si>
    <t>Country</t>
  </si>
  <si>
    <t>DWL Team</t>
  </si>
  <si>
    <t>Sold Price</t>
  </si>
  <si>
    <t>Status</t>
  </si>
  <si>
    <t>Alana King</t>
  </si>
  <si>
    <t>allrounder</t>
  </si>
  <si>
    <t>Australia</t>
  </si>
  <si>
    <t>Singara Singapengal</t>
  </si>
  <si>
    <t>Annabel Sutherland</t>
  </si>
  <si>
    <t>Sarafa Strikers</t>
  </si>
  <si>
    <t>Ashleigh Gardner</t>
  </si>
  <si>
    <t>Gully Divas</t>
  </si>
  <si>
    <t>Beth Mooney</t>
  </si>
  <si>
    <t>wicketkeeper</t>
  </si>
  <si>
    <t>Ellyse Perry</t>
  </si>
  <si>
    <t>Vanitha Warriors</t>
  </si>
  <si>
    <t>Georgia Voll</t>
  </si>
  <si>
    <t>batter</t>
  </si>
  <si>
    <t>Rajputana Ranis</t>
  </si>
  <si>
    <t>Georgia Wareham</t>
  </si>
  <si>
    <t>Grace Harris</t>
  </si>
  <si>
    <t>Kim Garth</t>
  </si>
  <si>
    <t>Konkan Queens</t>
  </si>
  <si>
    <t>Lucy Hamilton</t>
  </si>
  <si>
    <t>Megan Schutt</t>
  </si>
  <si>
    <t>bowler</t>
  </si>
  <si>
    <t>Janaki Royals</t>
  </si>
  <si>
    <t>Nicola Carey</t>
  </si>
  <si>
    <t>Phoebe Litchfield</t>
  </si>
  <si>
    <t>Sophie Molineux</t>
  </si>
  <si>
    <t>Tahlia McGrath</t>
  </si>
  <si>
    <t>Dilara Akter</t>
  </si>
  <si>
    <t>Bangladesh</t>
  </si>
  <si>
    <t>Fahima Khatun</t>
  </si>
  <si>
    <t>Fariha Trisna</t>
  </si>
  <si>
    <t>Juairiya Ferdous</t>
  </si>
  <si>
    <t>Marufa Akter</t>
  </si>
  <si>
    <t>Nahida Akter</t>
  </si>
  <si>
    <t>Nigar Sultana</t>
  </si>
  <si>
    <t>Rabeya Khan</t>
  </si>
  <si>
    <t>Ritu Moni</t>
  </si>
  <si>
    <t>Sharmin Akhter</t>
  </si>
  <si>
    <t>Shorna Akter</t>
  </si>
  <si>
    <t>Sobhana Mostary</t>
  </si>
  <si>
    <t>Sultana Khatun</t>
  </si>
  <si>
    <t>Sumaiya Akther</t>
  </si>
  <si>
    <t>Taj Nehar</t>
  </si>
  <si>
    <t>Alice Capsey</t>
  </si>
  <si>
    <t>England</t>
  </si>
  <si>
    <t>Amy Jones</t>
  </si>
  <si>
    <t>Charlie Dean</t>
  </si>
  <si>
    <t>Dani Gibson</t>
  </si>
  <si>
    <t>Danni Wyatt-Hodge</t>
  </si>
  <si>
    <t>Freya Kemp</t>
  </si>
  <si>
    <t>Heather Knight</t>
  </si>
  <si>
    <t>Issy Wong</t>
  </si>
  <si>
    <t>Lauren Bell</t>
  </si>
  <si>
    <t>Lauren Filer</t>
  </si>
  <si>
    <t>Linsey Smith</t>
  </si>
  <si>
    <t>Nat Sciver-Brunt</t>
  </si>
  <si>
    <t>Sophia Dunkley</t>
  </si>
  <si>
    <t>Sophie Ecclestone</t>
  </si>
  <si>
    <t>Tilly Corteen-Coleman</t>
  </si>
  <si>
    <t>Arundhati Reddy</t>
  </si>
  <si>
    <t>India</t>
  </si>
  <si>
    <t>Bharti Fulmali</t>
  </si>
  <si>
    <t>Deepti Sharma</t>
  </si>
  <si>
    <t>Harmanpreet Kaur</t>
  </si>
  <si>
    <t>Jemimah Rodrigues</t>
  </si>
  <si>
    <t>Kranti Gaud</t>
  </si>
  <si>
    <t>Nandani Sharma</t>
  </si>
  <si>
    <t>Prema Rawat</t>
  </si>
  <si>
    <t>Replacement</t>
  </si>
  <si>
    <t>Radha Yadav</t>
  </si>
  <si>
    <t>Renuka Singh</t>
  </si>
  <si>
    <t>Richa Ghosh</t>
  </si>
  <si>
    <t>Shafali Verma</t>
  </si>
  <si>
    <t>Shree Charani</t>
  </si>
  <si>
    <t>Shreyanka Patil</t>
  </si>
  <si>
    <t>Injured</t>
  </si>
  <si>
    <t>Smriti Mandhana</t>
  </si>
  <si>
    <t>Yastika Bhatia</t>
  </si>
  <si>
    <t>Aimee Maguire</t>
  </si>
  <si>
    <t>Ireland</t>
  </si>
  <si>
    <t>Alana Dalzell</t>
  </si>
  <si>
    <t>Amy Hunter</t>
  </si>
  <si>
    <t>Arlene Kelly</t>
  </si>
  <si>
    <t>Ava Canning</t>
  </si>
  <si>
    <t>Cara Murray</t>
  </si>
  <si>
    <t>Christina Coulter Reilly</t>
  </si>
  <si>
    <t>Gaby Lewis</t>
  </si>
  <si>
    <t>Georgina Dempsey</t>
  </si>
  <si>
    <t>Lara McBride</t>
  </si>
  <si>
    <t>Laura Delany</t>
  </si>
  <si>
    <t>Leah Paul</t>
  </si>
  <si>
    <t>Louise Little</t>
  </si>
  <si>
    <t>Orla Prendergast</t>
  </si>
  <si>
    <t>Rebecca Stokell</t>
  </si>
  <si>
    <t>Babette de Leede</t>
  </si>
  <si>
    <t>Netherlands</t>
  </si>
  <si>
    <t>Caroline de Lange</t>
  </si>
  <si>
    <t>Frederique Overdijk</t>
  </si>
  <si>
    <t>Hannah Landheer</t>
  </si>
  <si>
    <t>Heather Siegers</t>
  </si>
  <si>
    <t>Iris Zwilling</t>
  </si>
  <si>
    <t>Isabel van der Woning</t>
  </si>
  <si>
    <t>Lara Leemhuis</t>
  </si>
  <si>
    <t>Myrthe van den Raad</t>
  </si>
  <si>
    <t>Phebe Molkenboer</t>
  </si>
  <si>
    <t>Robine Rijke</t>
  </si>
  <si>
    <t>Rosalie Ann Lawrence</t>
  </si>
  <si>
    <t>Sanya Khurana</t>
  </si>
  <si>
    <t>Silver Siegers</t>
  </si>
  <si>
    <t>Sterre Kalis</t>
  </si>
  <si>
    <t>Bree Illing</t>
  </si>
  <si>
    <t>New Zealand</t>
  </si>
  <si>
    <t>Brooke Halliday</t>
  </si>
  <si>
    <t>Flora Devonshire</t>
  </si>
  <si>
    <t>Georgia Plimmer</t>
  </si>
  <si>
    <t>Isabella Gaze</t>
  </si>
  <si>
    <t>Izzy Sharp</t>
  </si>
  <si>
    <t>Jess Kerr</t>
  </si>
  <si>
    <t>Lea Tahuhu</t>
  </si>
  <si>
    <t>Maddy Green</t>
  </si>
  <si>
    <t>Melie Kerr</t>
  </si>
  <si>
    <t>Nensi Patel</t>
  </si>
  <si>
    <t>Polly Inglis</t>
  </si>
  <si>
    <t>Rosemary Mair</t>
  </si>
  <si>
    <t>Sophie Devine</t>
  </si>
  <si>
    <t>Suzie Bates</t>
  </si>
  <si>
    <t>Aliya Riaz</t>
  </si>
  <si>
    <t>Pakistan</t>
  </si>
  <si>
    <t>Ayesha Zafar</t>
  </si>
  <si>
    <t>Diana Baig</t>
  </si>
  <si>
    <t>Eyman Fatima</t>
  </si>
  <si>
    <t>Fatima Sana</t>
  </si>
  <si>
    <t>Gull Feroza</t>
  </si>
  <si>
    <t>Iram Javed</t>
  </si>
  <si>
    <t>Muneeba Ali</t>
  </si>
  <si>
    <t>Nashra Sandhu</t>
  </si>
  <si>
    <t>Natalia Pervaiz</t>
  </si>
  <si>
    <t>Rameen Shamim</t>
  </si>
  <si>
    <t>Sadia Iqbal</t>
  </si>
  <si>
    <t>Saira Jabeen</t>
  </si>
  <si>
    <t>Tasmia Rubab</t>
  </si>
  <si>
    <t>Tuba Hassan</t>
  </si>
  <si>
    <t>Abtaha Maqsood</t>
  </si>
  <si>
    <t>Scotland</t>
  </si>
  <si>
    <t>Ailsa Lister</t>
  </si>
  <si>
    <t>Chloe Abel</t>
  </si>
  <si>
    <t>Darcey Carter</t>
  </si>
  <si>
    <t>Gabriella Fontenla</t>
  </si>
  <si>
    <t>Hannah Rainey</t>
  </si>
  <si>
    <t>Katherine Fraser</t>
  </si>
  <si>
    <t>Kathryn Bryce</t>
  </si>
  <si>
    <t>Kirstie Gordon</t>
  </si>
  <si>
    <t>Maisie Maceira</t>
  </si>
  <si>
    <t>Megan McColl</t>
  </si>
  <si>
    <t>Olivia Bell</t>
  </si>
  <si>
    <t>Pippa Sproul</t>
  </si>
  <si>
    <t>Priyanaz Chatterji</t>
  </si>
  <si>
    <t>Rachel Slater</t>
  </si>
  <si>
    <t>Sarah Bryce</t>
  </si>
  <si>
    <t>Annerie Dercksen</t>
  </si>
  <si>
    <t>South Africa</t>
  </si>
  <si>
    <t>Ayabonga Khaka</t>
  </si>
  <si>
    <t>Chloe Tryon</t>
  </si>
  <si>
    <t>Dane van Niekerk</t>
  </si>
  <si>
    <t>Karabo Meso</t>
  </si>
  <si>
    <t>Kayla Reyneke</t>
  </si>
  <si>
    <t>Laura Wolvaardt</t>
  </si>
  <si>
    <t>Marizanne Kapp</t>
  </si>
  <si>
    <t>Nadine de Klerk</t>
  </si>
  <si>
    <t>Nonkululeko Mlaba</t>
  </si>
  <si>
    <t>Shabnim Ismail</t>
  </si>
  <si>
    <t>Sinalo Jafta</t>
  </si>
  <si>
    <t>Sune Luus</t>
  </si>
  <si>
    <t>Tazmin Brits</t>
  </si>
  <si>
    <t>Tumi Sekhukhune</t>
  </si>
  <si>
    <t>Chamari Athapaththu</t>
  </si>
  <si>
    <t>Sri Lanka</t>
  </si>
  <si>
    <t>Hansima Karunaratne</t>
  </si>
  <si>
    <t>Harshitha Samarawickrama</t>
  </si>
  <si>
    <t>Hasini Perera</t>
  </si>
  <si>
    <t>Imesha Dulani</t>
  </si>
  <si>
    <t>Kaushini Nuthyangana</t>
  </si>
  <si>
    <t>Kavisha Dilhari</t>
  </si>
  <si>
    <t>Kawya Kavindi</t>
  </si>
  <si>
    <t>Malki Madara</t>
  </si>
  <si>
    <t>Mithali Ayodhya</t>
  </si>
  <si>
    <t>Nilakshika Silva</t>
  </si>
  <si>
    <t>Nimasha Meepage</t>
  </si>
  <si>
    <t>Shashini Gimhani</t>
  </si>
  <si>
    <t>Sugandika Kumari</t>
  </si>
  <si>
    <t>Vishmi Gunaratne</t>
  </si>
  <si>
    <t>Aaliyah Alleyne</t>
  </si>
  <si>
    <t>West Indies</t>
  </si>
  <si>
    <t>Afy Fletcher</t>
  </si>
  <si>
    <t>Ashmini Munisar</t>
  </si>
  <si>
    <t>Chinelle Henry</t>
  </si>
  <si>
    <t>Deandra Dottin</t>
  </si>
  <si>
    <t>Hayley Matthews</t>
  </si>
  <si>
    <t>Jahzara Claxton</t>
  </si>
  <si>
    <t>Jannillea Glasgow</t>
  </si>
  <si>
    <t>Karishma Ramharack</t>
  </si>
  <si>
    <t>Mandy Mangru</t>
  </si>
  <si>
    <t>Qiana Joseph</t>
  </si>
  <si>
    <t>Shawnisha Hector</t>
  </si>
  <si>
    <t>Shemaine Campbelle</t>
  </si>
  <si>
    <t>Stafanie Taylor</t>
  </si>
  <si>
    <t>Zaida James</t>
  </si>
  <si>
    <t>Abbrv</t>
  </si>
  <si>
    <t>Team Name</t>
  </si>
  <si>
    <t>GD</t>
  </si>
  <si>
    <t>JR</t>
  </si>
  <si>
    <t>KQ</t>
  </si>
  <si>
    <t>RR</t>
  </si>
  <si>
    <t>SS</t>
  </si>
  <si>
    <t>SGS</t>
  </si>
  <si>
    <t>VW</t>
  </si>
  <si>
    <t>GULLY DIVAS</t>
  </si>
  <si>
    <t>Team Player No.</t>
  </si>
  <si>
    <t>Captain/ Vice-Captain</t>
  </si>
  <si>
    <t>Captain</t>
  </si>
  <si>
    <t>Vice-Captain</t>
  </si>
  <si>
    <t>JANAKI ROYALS</t>
  </si>
  <si>
    <t>KONKAN QUEENS</t>
  </si>
  <si>
    <t>RAJPUTANA RANIS</t>
  </si>
  <si>
    <t>SARAFA STRIKERS</t>
  </si>
  <si>
    <t>SINGARA SINGAPENGAL</t>
  </si>
  <si>
    <t>VANITHA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</si>
</sst>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28"/>
      <color rgb="FF800000"/>
      <name val="Aptos Narrow"/>
      <scheme val="minor"/>
    </font>
    <font>
      <sz val="28"/>
      <color rgb="FFF5D37A"/>
      <name val="Aptos Narrow (Body)"/>
    </font>
    <font>
      <sz val="12"/>
      <color rgb="FF0B0C10"/>
      <name val="Aptos Narrow"/>
      <family val="2"/>
      <scheme val="minor"/>
    </font>
    <font>
      <sz val="28"/>
      <color rgb="FFD4AF37"/>
      <name val="Aptos Narrow"/>
      <scheme val="minor"/>
    </font>
    <font>
      <sz val="28"/>
      <color rgb="FFFAEBC8"/>
      <name val="Aptos Narrow"/>
      <scheme val="minor"/>
    </font>
    <font>
      <sz val="12"/>
      <color rgb="FF301934"/>
      <name val="Aptos Narrow"/>
      <family val="2"/>
      <scheme val="minor"/>
    </font>
    <font>
      <sz val="28"/>
      <color rgb="FF800080"/>
      <name val="Aptos Narrow"/>
      <scheme val="minor"/>
    </font>
    <font>
      <sz val="28"/>
      <color rgb="FF33764E"/>
      <name val="Aptos Narrow"/>
      <scheme val="minor"/>
    </font>
    <font>
      <sz val="11"/>
      <color rgb="FF000000"/>
      <name val="Aptos Narrow"/>
      <family val="2"/>
      <charset val="1"/>
    </font>
    <font>
      <sz val="28"/>
      <color rgb="FFD4B631"/>
      <name val="Aptos Narrow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0903D"/>
        <bgColor indexed="64"/>
      </patternFill>
    </fill>
    <fill>
      <patternFill patternType="solid">
        <fgColor rgb="FF0B0C10"/>
        <bgColor indexed="64"/>
      </patternFill>
    </fill>
    <fill>
      <patternFill patternType="solid">
        <fgColor rgb="FFF5D37A"/>
        <bgColor indexed="64"/>
      </patternFill>
    </fill>
    <fill>
      <patternFill patternType="solid">
        <fgColor rgb="FFE759AC"/>
        <bgColor indexed="64"/>
      </patternFill>
    </fill>
    <fill>
      <patternFill patternType="solid">
        <fgColor rgb="FFD4AF37"/>
        <bgColor indexed="64"/>
      </patternFill>
    </fill>
    <fill>
      <patternFill patternType="solid">
        <fgColor rgb="FF046307"/>
        <bgColor indexed="64"/>
      </patternFill>
    </fill>
    <fill>
      <patternFill patternType="solid">
        <fgColor rgb="FFD4B631"/>
        <bgColor indexed="64"/>
      </patternFill>
    </fill>
    <fill>
      <patternFill patternType="solid">
        <fgColor rgb="FF301934"/>
        <bgColor indexed="64"/>
      </patternFill>
    </fill>
    <fill>
      <patternFill patternType="solid">
        <fgColor rgb="FFFAEBC8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33764E"/>
        <bgColor indexed="64"/>
      </patternFill>
    </fill>
    <fill>
      <patternFill patternType="solid">
        <fgColor rgb="FFFFD700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2" fillId="9" borderId="0" xfId="0" applyFont="1" applyFill="1"/>
    <xf numFmtId="0" fontId="2" fillId="10" borderId="0" xfId="0" applyFont="1" applyFill="1"/>
    <xf numFmtId="0" fontId="0" fillId="11" borderId="0" xfId="0" applyFill="1"/>
    <xf numFmtId="0" fontId="2" fillId="12" borderId="0" xfId="0" applyFont="1" applyFill="1"/>
    <xf numFmtId="0" fontId="0" fillId="13" borderId="0" xfId="0" applyFill="1"/>
    <xf numFmtId="0" fontId="2" fillId="12" borderId="0" xfId="0" applyFont="1" applyFill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0" fillId="22" borderId="0" xfId="0" applyFont="1" applyFill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0" xfId="0" applyFont="1" applyFill="1" applyBorder="1" applyAlignment="1">
      <alignment horizontal="center" vertical="center"/>
    </xf>
    <xf numFmtId="0" fontId="1" fillId="24" borderId="2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13" fillId="0" borderId="0" xfId="0" applyFont="1" applyAlignment="1"/>
    <xf numFmtId="0" fontId="2" fillId="20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0" fontId="11" fillId="23" borderId="0" xfId="0" applyFont="1" applyFill="1" applyAlignment="1">
      <alignment horizontal="center" vertical="center"/>
    </xf>
    <xf numFmtId="0" fontId="9" fillId="21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8" fillId="17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12" fillId="26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</cellXfs>
  <cellStyles count="1">
    <cellStyle name="Normal" xfId="0" builtinId="0"/>
  </cellStyles>
  <dxfs count="53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D4B631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33764E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0B0C10"/>
      </font>
      <fill>
        <patternFill patternType="solid">
          <fgColor indexed="64"/>
          <bgColor rgb="FFF5D37A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D4AF37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80000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01934"/>
        <name val="Aptos Narrow"/>
        <family val="2"/>
        <scheme val="minor"/>
      </font>
      <fill>
        <patternFill patternType="solid">
          <fgColor indexed="64"/>
          <bgColor rgb="FFFAEBC8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theme="8"/>
        </top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rgb="FF80008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numFmt numFmtId="2" formatCode="0.00"/>
      <alignment horizontal="center"/>
    </dxf>
  </dxfs>
  <tableStyles count="0" defaultTableStyle="TableStyleMedium2" defaultPivotStyle="PivotStyleLight16"/>
  <colors>
    <mruColors>
      <color rgb="FFD4B631"/>
      <color rgb="FF046307"/>
      <color rgb="FFFFD700"/>
      <color rgb="FF33764E"/>
      <color rgb="FF0B0C10"/>
      <color rgb="FFE759AC"/>
      <color rgb="FF301934"/>
      <color rgb="FF008080"/>
      <color rgb="FF800080"/>
      <color rgb="FFFAEB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0CFBB-B781-B648-9D72-EBCEFAF7AED5}" name="WWC_Players_All" displayName="WWC_Players_All" ref="A1:F183" totalsRowShown="0">
  <autoFilter ref="A1:F183" xr:uid="{D6C0CFBB-B781-B648-9D72-EBCEFAF7AED5}"/>
  <sortState xmlns:xlrd2="http://schemas.microsoft.com/office/spreadsheetml/2017/richdata2" ref="A2:E183">
    <sortCondition ref="C1:C183"/>
  </sortState>
  <tableColumns count="6">
    <tableColumn id="1" xr3:uid="{9375827B-7F58-154E-8A6D-89BE21277304}" name="Player Name"/>
    <tableColumn id="2" xr3:uid="{F0A76870-728A-A74E-B950-90FF8E0725ED}" name="Role"/>
    <tableColumn id="3" xr3:uid="{3BB180DF-A277-B143-96FC-14A3A8D2DBBE}" name="Country"/>
    <tableColumn id="4" xr3:uid="{443289CA-3294-5145-B407-E557FD9FF3E7}" name="DWL Team"/>
    <tableColumn id="5" xr3:uid="{75621D58-A8A6-4E62-BDA9-66A239157A91}" name="Sold Price" dataDxfId="52"/>
    <tableColumn id="6" xr3:uid="{085904BA-F0EF-4E5D-A886-B7C3DE1C35BF}" name="Status" dataDxfId="51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3B5805-0808-2546-831F-551AAE068184}" name="DWLTeams" displayName="DWLTeams" ref="A1:B8" totalsRowShown="0">
  <autoFilter ref="A1:B8" xr:uid="{A23B5805-0808-2546-831F-551AAE068184}"/>
  <sortState xmlns:xlrd2="http://schemas.microsoft.com/office/spreadsheetml/2017/richdata2" ref="A2:B10">
    <sortCondition ref="A1:A10"/>
  </sortState>
  <tableColumns count="2">
    <tableColumn id="1" xr3:uid="{2002ACC4-D887-2C44-9678-BD7731D9CCFA}" name="Abbrv"/>
    <tableColumn id="2" xr3:uid="{2DFF7EF3-7DF4-7D43-861B-67FB1F8F4D9E}" name="Team Name" dataDxfId="50"/>
  </tableColumns>
  <tableStyleInfo name="TableStyleLight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49E610-2074-9448-A682-4CF44B25CCCB}" name="GD" displayName="GD" ref="A5:E23" totalsRowShown="0" headerRowDxfId="49" dataDxfId="48" tableBorderDxfId="47">
  <autoFilter ref="A5:E23" xr:uid="{FF49E610-2074-9448-A682-4CF44B25CCCB}"/>
  <sortState xmlns:xlrd2="http://schemas.microsoft.com/office/spreadsheetml/2017/richdata2" ref="A6:E23">
    <sortCondition ref="B5:B23"/>
  </sortState>
  <tableColumns count="5">
    <tableColumn id="1" xr3:uid="{08FE8A15-D3B6-DF4B-88B3-A051E62A20E6}" name="Team Player No." dataDxfId="46"/>
    <tableColumn id="2" xr3:uid="{4ECD4789-FFEE-F647-8611-EA766F1EEB38}" name="Player Name" dataDxfId="45"/>
    <tableColumn id="3" xr3:uid="{E23434DC-5066-554A-A1F3-30A49F38C773}" name="Country" dataDxfId="44">
      <calculatedColumnFormula>IFERROR(VLOOKUP(GD[[#This Row],[Player Name]],Players!A:D,3,0),"")</calculatedColumnFormula>
    </tableColumn>
    <tableColumn id="4" xr3:uid="{B716E680-D978-7440-AE9C-6B18870AC674}" name="Captain/ Vice-Captain" dataDxfId="43"/>
    <tableColumn id="5" xr3:uid="{F7B09C99-8D55-4A36-BDE6-081088F33D6B}" name="Status" dataDxfId="42">
      <calculatedColumnFormula>IFERROR(VLOOKUP(GD[[#This Row],[Player Name]],Players!A:F,6,FALSE),"")</calculatedColumnFormula>
    </tableColumn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0A3757-C1BF-6F4E-8593-2BAF45FE9FDE}" name="JR" displayName="JR" ref="A5:E23" totalsRowShown="0" headerRowDxfId="41" dataDxfId="40">
  <autoFilter ref="A5:E23" xr:uid="{BA0A3757-C1BF-6F4E-8593-2BAF45FE9FDE}"/>
  <sortState xmlns:xlrd2="http://schemas.microsoft.com/office/spreadsheetml/2017/richdata2" ref="A6:D23">
    <sortCondition ref="B5:B23"/>
  </sortState>
  <tableColumns count="5">
    <tableColumn id="1" xr3:uid="{9685E0E1-CFC1-4D4C-9DA8-9D0D67FFF359}" name="Team Player No." dataDxfId="39"/>
    <tableColumn id="2" xr3:uid="{4127652B-4321-704E-8135-B6E29F440927}" name="Player Name" dataDxfId="38"/>
    <tableColumn id="3" xr3:uid="{7E01B81D-BAB5-574F-BBB7-719FC4E16DC4}" name="Country" dataDxfId="37">
      <calculatedColumnFormula>IFERROR(VLOOKUP(JR[[#This Row],[Player Name]],Players!A:D,3,0),"")</calculatedColumnFormula>
    </tableColumn>
    <tableColumn id="4" xr3:uid="{0C3C6BB9-DD76-DD4A-97EF-189E0310831A}" name="Captain/ Vice-Captain" dataDxfId="36"/>
    <tableColumn id="5" xr3:uid="{FF728CA9-5A84-4ADA-8803-4CD4F59AFA8E}" name="Status" dataDxfId="35">
      <calculatedColumnFormula>IFERROR(VLOOKUP(JR[[#This Row],[Player Name]],Players!A:F,6,FALSE),"")</calculatedColumnFormula>
    </tableColumn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1129C46-FAC5-6246-92A2-AEAD87339477}" name="KQ" displayName="KQ" ref="A5:E23" totalsRowShown="0" headerRowDxfId="34" dataDxfId="33">
  <autoFilter ref="A5:E23" xr:uid="{61129C46-FAC5-6246-92A2-AEAD87339477}"/>
  <sortState xmlns:xlrd2="http://schemas.microsoft.com/office/spreadsheetml/2017/richdata2" ref="A6:E23">
    <sortCondition ref="B5:B23"/>
  </sortState>
  <tableColumns count="5">
    <tableColumn id="1" xr3:uid="{0D27ED80-3738-7F47-94AF-0A6B61961EB3}" name="Team Player No." dataDxfId="32"/>
    <tableColumn id="2" xr3:uid="{267FF8CD-F86C-DE4D-922E-8D12B710755E}" name="Player Name" dataDxfId="31"/>
    <tableColumn id="3" xr3:uid="{20C938BF-DCD0-1941-ACC8-F620B1FDFF4A}" name="Country" dataDxfId="30">
      <calculatedColumnFormula>IFERROR(VLOOKUP(KQ[[#This Row],[Player Name]],Players!A:D,3,0),"")</calculatedColumnFormula>
    </tableColumn>
    <tableColumn id="4" xr3:uid="{BC210CBE-A244-1A47-9738-6D3C52D2F342}" name="Captain/ Vice-Captain" dataDxfId="29"/>
    <tableColumn id="5" xr3:uid="{CB9E0E92-B905-4960-84CA-9CDD10473379}" name="Status" dataDxfId="28">
      <calculatedColumnFormula>IFERROR(VLOOKUP(KQ[[#This Row],[Player Name]],Players!A:F,6,FALSE),"")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95645B6-531C-9947-BD49-AB7DD4777E06}" name="RR" displayName="RR" ref="A5:E23" totalsRowShown="0" headerRowDxfId="27" dataDxfId="26">
  <autoFilter ref="A5:E23" xr:uid="{695645B6-531C-9947-BD49-AB7DD4777E06}"/>
  <sortState xmlns:xlrd2="http://schemas.microsoft.com/office/spreadsheetml/2017/richdata2" ref="A6:D23">
    <sortCondition ref="B5:B23"/>
  </sortState>
  <tableColumns count="5">
    <tableColumn id="1" xr3:uid="{234B9EE4-D33E-1447-BB49-68C355C76983}" name="Team Player No." dataDxfId="25"/>
    <tableColumn id="2" xr3:uid="{F46522FB-98C6-BD44-8237-8D453678EEE8}" name="Player Name" dataDxfId="24"/>
    <tableColumn id="3" xr3:uid="{420600D5-2F08-1849-A91C-2F03DFE81977}" name="Country" dataDxfId="23">
      <calculatedColumnFormula>IFERROR(VLOOKUP(RR[[#This Row],[Player Name]],Players!A:D,3,0),"")</calculatedColumnFormula>
    </tableColumn>
    <tableColumn id="4" xr3:uid="{F0D8CC44-F2B1-B443-B44A-5AE8610B9D3B}" name="Captain/ Vice-Captain" dataDxfId="22"/>
    <tableColumn id="5" xr3:uid="{517E5FAB-EF90-44E4-A11D-B492670D7D75}" name="Status" dataDxfId="21">
      <calculatedColumnFormula>IFERROR(VLOOKUP(RR[[#This Row],[Player Name]],Players!A:F,6,FALSE),"")</calculatedColumnFormula>
    </tableColumn>
  </tableColumns>
  <tableStyleInfo name="TableStyleLight1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9331E8-BE4C-7A4A-8F63-4638AD1C1FDD}" name="SS" displayName="SS" ref="A5:E23" totalsRowShown="0" headerRowDxfId="20" dataDxfId="19">
  <autoFilter ref="A5:E23" xr:uid="{649331E8-BE4C-7A4A-8F63-4638AD1C1FDD}"/>
  <sortState xmlns:xlrd2="http://schemas.microsoft.com/office/spreadsheetml/2017/richdata2" ref="A6:D23">
    <sortCondition ref="B5:B23"/>
  </sortState>
  <tableColumns count="5">
    <tableColumn id="1" xr3:uid="{31A5AA7F-D358-494F-8889-0D3934B9DF61}" name="Team Player No." dataDxfId="18"/>
    <tableColumn id="2" xr3:uid="{196D6C69-3CAF-0A44-BF6D-64F1AC14B9D2}" name="Player Name" dataDxfId="17"/>
    <tableColumn id="3" xr3:uid="{9DCA5DAF-0152-FA41-87A0-FBE7254C3CCC}" name="Country" dataDxfId="16">
      <calculatedColumnFormula>IFERROR(VLOOKUP(SS[[#This Row],[Player Name]],Players!A:D,3,0),"")</calculatedColumnFormula>
    </tableColumn>
    <tableColumn id="4" xr3:uid="{E65D1282-79BC-3640-9D14-2CB9941E7D9C}" name="Captain/ Vice-Captain" dataDxfId="15"/>
    <tableColumn id="5" xr3:uid="{86BDAD13-D9A5-4591-8814-2EE9356EAAA3}" name="Status" dataDxfId="14">
      <calculatedColumnFormula>IFERROR(VLOOKUP(SS[[#This Row],[Player Name]],Players!A:F,6,FALSE),"")</calculatedColumnFormula>
    </tableColumn>
  </tableColumns>
  <tableStyleInfo name="TableStyleLight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F09F066-F6AA-4643-AA12-841C9478CEE4}" name="SGS" displayName="SGS" ref="A5:E23" totalsRowShown="0" headerRowDxfId="13" dataDxfId="12">
  <autoFilter ref="A5:E23" xr:uid="{FF09F066-F6AA-4643-AA12-841C9478CEE4}"/>
  <sortState xmlns:xlrd2="http://schemas.microsoft.com/office/spreadsheetml/2017/richdata2" ref="A6:E23">
    <sortCondition ref="B5:B23"/>
  </sortState>
  <tableColumns count="5">
    <tableColumn id="1" xr3:uid="{74BA643C-B079-8B4F-8344-2C9B9BC12707}" name="Team Player No." dataDxfId="11"/>
    <tableColumn id="2" xr3:uid="{432B80D9-19D7-AF43-AB9E-82D1257517E4}" name="Player Name" dataDxfId="10"/>
    <tableColumn id="3" xr3:uid="{AA077A69-6CDA-934A-8174-723FA3593002}" name="Country" dataDxfId="9">
      <calculatedColumnFormula>IFERROR(VLOOKUP(SGS[[#This Row],[Player Name]],Players!A:D,3,0),"")</calculatedColumnFormula>
    </tableColumn>
    <tableColumn id="4" xr3:uid="{3A3DF73D-E88E-1644-A4F0-7B6F72118B2E}" name="Captain/ Vice-Captain" dataDxfId="8"/>
    <tableColumn id="5" xr3:uid="{9CF9114D-3B1F-4C9E-91B8-639A688B3C9E}" name="Status" dataDxfId="7">
      <calculatedColumnFormula>IFERROR(VLOOKUP(SGS[[#This Row],[Player Name]],Players!A:F,6,FALSE),"")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D09985-BEF9-0242-9733-F0E6C95B1A50}" name="KT" displayName="KT" ref="A5:E23" totalsRowShown="0" headerRowDxfId="6" dataDxfId="5">
  <autoFilter ref="A5:E23" xr:uid="{D2D09985-BEF9-0242-9733-F0E6C95B1A50}"/>
  <sortState xmlns:xlrd2="http://schemas.microsoft.com/office/spreadsheetml/2017/richdata2" ref="A6:D23">
    <sortCondition ref="B5:B23"/>
  </sortState>
  <tableColumns count="5">
    <tableColumn id="1" xr3:uid="{8DD4A9BF-D7CC-1249-82C8-0D9C5B5EC365}" name="Team Player No." dataDxfId="4"/>
    <tableColumn id="2" xr3:uid="{6C7C94F0-116B-6E4D-A181-898044122E61}" name="Player Name" dataDxfId="3"/>
    <tableColumn id="3" xr3:uid="{0F8DB46C-16CD-4540-821F-2B7FB0541A01}" name="Country" dataDxfId="2">
      <calculatedColumnFormula>IFERROR(VLOOKUP(KT[[#This Row],[Player Name]],Players!A:D,3,0),"")</calculatedColumnFormula>
    </tableColumn>
    <tableColumn id="4" xr3:uid="{611FC6FE-DC81-EB47-AEEC-56717395E657}" name="Captain/ Vice-Captain" dataDxfId="1"/>
    <tableColumn id="5" xr3:uid="{07CD9CAF-C77E-4876-99E1-873F5AB8D139}" name="Status" dataDxfId="0">
      <calculatedColumnFormula>IFERROR(VLOOKUP(KT[[#This Row],[Player Name]],Players!A:F,6,FALSE),"")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5FD65-5A90-8049-AA35-694183767B48}">
  <dimension ref="A1:F186"/>
  <sheetViews>
    <sheetView topLeftCell="A46" zoomScale="137" workbookViewId="0">
      <selection activeCell="G55" sqref="G55"/>
    </sheetView>
  </sheetViews>
  <sheetFormatPr defaultColWidth="11" defaultRowHeight="15.75" customHeight="1"/>
  <cols>
    <col min="1" max="1" width="22.5" bestFit="1" customWidth="1"/>
    <col min="2" max="2" width="17.5" bestFit="1" customWidth="1"/>
    <col min="3" max="3" width="11.625" bestFit="1" customWidth="1"/>
    <col min="4" max="4" width="21.875" customWidth="1"/>
    <col min="5" max="5" width="11.125" bestFit="1" customWidth="1"/>
    <col min="6" max="6" width="21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4" t="s">
        <v>6</v>
      </c>
      <c r="B2" s="4" t="s">
        <v>7</v>
      </c>
      <c r="C2" s="4" t="s">
        <v>8</v>
      </c>
      <c r="D2" s="4" t="s">
        <v>9</v>
      </c>
      <c r="E2" s="25">
        <v>14.5</v>
      </c>
      <c r="F2" s="26"/>
    </row>
    <row r="3" spans="1:6">
      <c r="A3" s="4" t="s">
        <v>10</v>
      </c>
      <c r="B3" s="4" t="s">
        <v>7</v>
      </c>
      <c r="C3" s="4" t="s">
        <v>8</v>
      </c>
      <c r="D3" s="4" t="s">
        <v>11</v>
      </c>
      <c r="E3" s="25">
        <v>13.5</v>
      </c>
      <c r="F3" s="26"/>
    </row>
    <row r="4" spans="1:6">
      <c r="A4" s="4" t="s">
        <v>12</v>
      </c>
      <c r="B4" s="4" t="s">
        <v>7</v>
      </c>
      <c r="C4" s="4" t="s">
        <v>8</v>
      </c>
      <c r="D4" s="4" t="s">
        <v>13</v>
      </c>
      <c r="E4" s="25">
        <v>25</v>
      </c>
      <c r="F4" s="26"/>
    </row>
    <row r="5" spans="1:6">
      <c r="A5" s="4" t="s">
        <v>14</v>
      </c>
      <c r="B5" s="4" t="s">
        <v>15</v>
      </c>
      <c r="C5" s="4" t="s">
        <v>8</v>
      </c>
      <c r="D5" s="4" t="s">
        <v>11</v>
      </c>
      <c r="E5" s="25">
        <v>18</v>
      </c>
      <c r="F5" s="26"/>
    </row>
    <row r="6" spans="1:6">
      <c r="A6" s="4" t="s">
        <v>16</v>
      </c>
      <c r="B6" s="4" t="s">
        <v>7</v>
      </c>
      <c r="C6" s="4" t="s">
        <v>8</v>
      </c>
      <c r="D6" s="4" t="s">
        <v>17</v>
      </c>
      <c r="E6" s="25">
        <v>27.5</v>
      </c>
      <c r="F6" s="26"/>
    </row>
    <row r="7" spans="1:6">
      <c r="A7" s="4" t="s">
        <v>18</v>
      </c>
      <c r="B7" s="4" t="s">
        <v>19</v>
      </c>
      <c r="C7" s="4" t="s">
        <v>8</v>
      </c>
      <c r="D7" s="4" t="s">
        <v>20</v>
      </c>
      <c r="E7" s="25">
        <v>4</v>
      </c>
      <c r="F7" s="26"/>
    </row>
    <row r="8" spans="1:6">
      <c r="A8" s="4" t="s">
        <v>21</v>
      </c>
      <c r="B8" s="4" t="s">
        <v>7</v>
      </c>
      <c r="C8" s="4" t="s">
        <v>8</v>
      </c>
      <c r="D8" s="4" t="s">
        <v>20</v>
      </c>
      <c r="E8" s="25">
        <v>4</v>
      </c>
      <c r="F8" s="26"/>
    </row>
    <row r="9" spans="1:6">
      <c r="A9" s="4" t="s">
        <v>22</v>
      </c>
      <c r="B9" s="4" t="s">
        <v>7</v>
      </c>
      <c r="C9" s="4" t="s">
        <v>8</v>
      </c>
      <c r="D9" s="4" t="s">
        <v>11</v>
      </c>
      <c r="E9" s="25">
        <v>5</v>
      </c>
      <c r="F9" s="26"/>
    </row>
    <row r="10" spans="1:6">
      <c r="A10" s="4" t="s">
        <v>23</v>
      </c>
      <c r="B10" s="4" t="s">
        <v>7</v>
      </c>
      <c r="C10" s="4" t="s">
        <v>8</v>
      </c>
      <c r="D10" s="4" t="s">
        <v>24</v>
      </c>
      <c r="E10" s="25">
        <v>7.5</v>
      </c>
      <c r="F10" s="26"/>
    </row>
    <row r="11" spans="1:6">
      <c r="A11" s="4" t="s">
        <v>25</v>
      </c>
      <c r="B11" s="4" t="s">
        <v>7</v>
      </c>
      <c r="C11" s="4" t="s">
        <v>8</v>
      </c>
      <c r="D11" s="4" t="s">
        <v>24</v>
      </c>
      <c r="E11" s="25">
        <v>0.5</v>
      </c>
      <c r="F11" s="26"/>
    </row>
    <row r="12" spans="1:6">
      <c r="A12" s="4" t="s">
        <v>26</v>
      </c>
      <c r="B12" s="4" t="s">
        <v>27</v>
      </c>
      <c r="C12" s="4" t="s">
        <v>8</v>
      </c>
      <c r="D12" s="4" t="s">
        <v>28</v>
      </c>
      <c r="E12" s="25">
        <v>14.5</v>
      </c>
      <c r="F12" s="26"/>
    </row>
    <row r="13" spans="1:6">
      <c r="A13" s="4" t="s">
        <v>29</v>
      </c>
      <c r="B13" s="4" t="s">
        <v>27</v>
      </c>
      <c r="C13" s="4" t="s">
        <v>8</v>
      </c>
      <c r="D13" s="4" t="s">
        <v>17</v>
      </c>
      <c r="E13" s="25">
        <v>2.5</v>
      </c>
      <c r="F13" s="26"/>
    </row>
    <row r="14" spans="1:6">
      <c r="A14" s="4" t="s">
        <v>30</v>
      </c>
      <c r="B14" s="4" t="s">
        <v>19</v>
      </c>
      <c r="C14" s="4" t="s">
        <v>8</v>
      </c>
      <c r="D14" s="4" t="s">
        <v>24</v>
      </c>
      <c r="E14" s="25">
        <v>13</v>
      </c>
      <c r="F14" s="26"/>
    </row>
    <row r="15" spans="1:6">
      <c r="A15" s="4" t="s">
        <v>31</v>
      </c>
      <c r="B15" s="4" t="s">
        <v>7</v>
      </c>
      <c r="C15" s="4" t="s">
        <v>8</v>
      </c>
      <c r="D15" s="4" t="s">
        <v>24</v>
      </c>
      <c r="E15" s="25">
        <v>5</v>
      </c>
      <c r="F15" s="26"/>
    </row>
    <row r="16" spans="1:6">
      <c r="A16" s="4" t="s">
        <v>32</v>
      </c>
      <c r="B16" s="4" t="s">
        <v>7</v>
      </c>
      <c r="C16" s="4" t="s">
        <v>8</v>
      </c>
      <c r="D16" s="4" t="s">
        <v>28</v>
      </c>
      <c r="E16" s="25">
        <v>10.5</v>
      </c>
      <c r="F16" s="26"/>
    </row>
    <row r="17" spans="1:6">
      <c r="A17" s="5" t="s">
        <v>33</v>
      </c>
      <c r="B17" s="5" t="s">
        <v>15</v>
      </c>
      <c r="C17" s="5" t="s">
        <v>34</v>
      </c>
      <c r="D17" s="5"/>
      <c r="E17" s="25"/>
      <c r="F17" s="26"/>
    </row>
    <row r="18" spans="1:6">
      <c r="A18" s="5" t="s">
        <v>35</v>
      </c>
      <c r="B18" s="5" t="s">
        <v>27</v>
      </c>
      <c r="C18" s="5" t="s">
        <v>34</v>
      </c>
      <c r="D18" s="5"/>
      <c r="E18" s="25"/>
      <c r="F18" s="26"/>
    </row>
    <row r="19" spans="1:6">
      <c r="A19" s="5" t="s">
        <v>36</v>
      </c>
      <c r="B19" s="5" t="s">
        <v>27</v>
      </c>
      <c r="C19" s="5" t="s">
        <v>34</v>
      </c>
      <c r="D19" s="5"/>
      <c r="E19" s="25"/>
      <c r="F19" s="26"/>
    </row>
    <row r="20" spans="1:6">
      <c r="A20" s="5" t="s">
        <v>37</v>
      </c>
      <c r="B20" s="5" t="s">
        <v>15</v>
      </c>
      <c r="C20" s="5" t="s">
        <v>34</v>
      </c>
      <c r="D20" s="5"/>
      <c r="E20" s="25"/>
      <c r="F20" s="26"/>
    </row>
    <row r="21" spans="1:6">
      <c r="A21" s="5" t="s">
        <v>38</v>
      </c>
      <c r="B21" s="5" t="s">
        <v>27</v>
      </c>
      <c r="C21" s="5" t="s">
        <v>34</v>
      </c>
      <c r="D21" s="5"/>
      <c r="E21" s="25"/>
      <c r="F21" s="26"/>
    </row>
    <row r="22" spans="1:6">
      <c r="A22" s="5" t="s">
        <v>39</v>
      </c>
      <c r="B22" s="5" t="s">
        <v>27</v>
      </c>
      <c r="C22" s="5" t="s">
        <v>34</v>
      </c>
      <c r="D22" s="5" t="s">
        <v>13</v>
      </c>
      <c r="E22" s="25">
        <v>1</v>
      </c>
      <c r="F22" s="26"/>
    </row>
    <row r="23" spans="1:6">
      <c r="A23" s="5" t="s">
        <v>40</v>
      </c>
      <c r="B23" s="5" t="s">
        <v>15</v>
      </c>
      <c r="C23" s="5" t="s">
        <v>34</v>
      </c>
      <c r="D23" s="5" t="s">
        <v>13</v>
      </c>
      <c r="E23" s="25">
        <v>1</v>
      </c>
      <c r="F23" s="26"/>
    </row>
    <row r="24" spans="1:6">
      <c r="A24" s="5" t="s">
        <v>41</v>
      </c>
      <c r="B24" s="5" t="s">
        <v>7</v>
      </c>
      <c r="C24" s="5" t="s">
        <v>34</v>
      </c>
      <c r="D24" s="5"/>
      <c r="E24" s="25"/>
      <c r="F24" s="26"/>
    </row>
    <row r="25" spans="1:6">
      <c r="A25" s="5" t="s">
        <v>42</v>
      </c>
      <c r="B25" s="5" t="s">
        <v>7</v>
      </c>
      <c r="C25" s="5" t="s">
        <v>34</v>
      </c>
      <c r="D25" s="5"/>
      <c r="E25" s="25"/>
      <c r="F25" s="26"/>
    </row>
    <row r="26" spans="1:6">
      <c r="A26" s="5" t="s">
        <v>43</v>
      </c>
      <c r="B26" s="5" t="s">
        <v>19</v>
      </c>
      <c r="C26" s="5" t="s">
        <v>34</v>
      </c>
      <c r="D26" s="5"/>
      <c r="E26" s="25"/>
      <c r="F26" s="26"/>
    </row>
    <row r="27" spans="1:6">
      <c r="A27" s="5" t="s">
        <v>44</v>
      </c>
      <c r="B27" s="5" t="s">
        <v>7</v>
      </c>
      <c r="C27" s="5" t="s">
        <v>34</v>
      </c>
      <c r="D27" s="5"/>
      <c r="E27" s="25"/>
      <c r="F27" s="26"/>
    </row>
    <row r="28" spans="1:6">
      <c r="A28" s="5" t="s">
        <v>45</v>
      </c>
      <c r="B28" s="5" t="s">
        <v>19</v>
      </c>
      <c r="C28" s="5" t="s">
        <v>34</v>
      </c>
      <c r="D28" s="5"/>
      <c r="E28" s="25"/>
      <c r="F28" s="26"/>
    </row>
    <row r="29" spans="1:6">
      <c r="A29" s="5" t="s">
        <v>46</v>
      </c>
      <c r="B29" s="5" t="s">
        <v>27</v>
      </c>
      <c r="C29" s="5" t="s">
        <v>34</v>
      </c>
      <c r="D29" s="5"/>
      <c r="E29" s="25"/>
      <c r="F29" s="26"/>
    </row>
    <row r="30" spans="1:6">
      <c r="A30" s="5" t="s">
        <v>47</v>
      </c>
      <c r="B30" s="5" t="s">
        <v>15</v>
      </c>
      <c r="C30" s="5" t="s">
        <v>34</v>
      </c>
      <c r="D30" s="5"/>
      <c r="E30" s="25"/>
      <c r="F30" s="26"/>
    </row>
    <row r="31" spans="1:6">
      <c r="A31" s="5" t="s">
        <v>48</v>
      </c>
      <c r="B31" s="5" t="s">
        <v>19</v>
      </c>
      <c r="C31" s="5" t="s">
        <v>34</v>
      </c>
      <c r="D31" s="5"/>
      <c r="E31" s="25"/>
      <c r="F31" s="26"/>
    </row>
    <row r="32" spans="1:6">
      <c r="A32" s="6" t="s">
        <v>49</v>
      </c>
      <c r="B32" s="6" t="s">
        <v>7</v>
      </c>
      <c r="C32" s="6" t="s">
        <v>50</v>
      </c>
      <c r="D32" s="6" t="s">
        <v>20</v>
      </c>
      <c r="E32" s="25">
        <v>16</v>
      </c>
      <c r="F32" s="26"/>
    </row>
    <row r="33" spans="1:6">
      <c r="A33" s="6" t="s">
        <v>51</v>
      </c>
      <c r="B33" s="6" t="s">
        <v>15</v>
      </c>
      <c r="C33" s="6" t="s">
        <v>50</v>
      </c>
      <c r="D33" s="6" t="s">
        <v>11</v>
      </c>
      <c r="E33" s="25">
        <v>9</v>
      </c>
      <c r="F33" s="26"/>
    </row>
    <row r="34" spans="1:6">
      <c r="A34" s="6" t="s">
        <v>52</v>
      </c>
      <c r="B34" s="6" t="s">
        <v>7</v>
      </c>
      <c r="C34" s="6" t="s">
        <v>50</v>
      </c>
      <c r="D34" s="6" t="s">
        <v>13</v>
      </c>
      <c r="E34" s="25">
        <v>13</v>
      </c>
      <c r="F34" s="26"/>
    </row>
    <row r="35" spans="1:6">
      <c r="A35" s="6" t="s">
        <v>53</v>
      </c>
      <c r="B35" s="6" t="s">
        <v>7</v>
      </c>
      <c r="C35" s="6" t="s">
        <v>50</v>
      </c>
      <c r="D35" s="6"/>
      <c r="E35" s="25"/>
      <c r="F35" s="26"/>
    </row>
    <row r="36" spans="1:6">
      <c r="A36" s="6" t="s">
        <v>54</v>
      </c>
      <c r="B36" s="6" t="s">
        <v>19</v>
      </c>
      <c r="C36" s="6" t="s">
        <v>50</v>
      </c>
      <c r="D36" s="6" t="s">
        <v>11</v>
      </c>
      <c r="E36" s="25">
        <v>9</v>
      </c>
      <c r="F36" s="26"/>
    </row>
    <row r="37" spans="1:6">
      <c r="A37" s="6" t="s">
        <v>55</v>
      </c>
      <c r="B37" s="6" t="s">
        <v>7</v>
      </c>
      <c r="C37" s="6" t="s">
        <v>50</v>
      </c>
      <c r="D37" s="6" t="s">
        <v>11</v>
      </c>
      <c r="E37" s="25">
        <v>1</v>
      </c>
      <c r="F37" s="26"/>
    </row>
    <row r="38" spans="1:6">
      <c r="A38" s="6" t="s">
        <v>56</v>
      </c>
      <c r="B38" s="6" t="s">
        <v>19</v>
      </c>
      <c r="C38" s="6" t="s">
        <v>50</v>
      </c>
      <c r="D38" s="6" t="s">
        <v>9</v>
      </c>
      <c r="E38" s="25">
        <v>4</v>
      </c>
      <c r="F38" s="26"/>
    </row>
    <row r="39" spans="1:6">
      <c r="A39" s="6" t="s">
        <v>57</v>
      </c>
      <c r="B39" s="6" t="s">
        <v>27</v>
      </c>
      <c r="C39" s="6" t="s">
        <v>50</v>
      </c>
      <c r="D39" s="6" t="s">
        <v>28</v>
      </c>
      <c r="E39" s="25">
        <v>2</v>
      </c>
      <c r="F39" s="26"/>
    </row>
    <row r="40" spans="1:6">
      <c r="A40" s="6" t="s">
        <v>58</v>
      </c>
      <c r="B40" s="6" t="s">
        <v>27</v>
      </c>
      <c r="C40" s="6" t="s">
        <v>50</v>
      </c>
      <c r="D40" s="6" t="s">
        <v>24</v>
      </c>
      <c r="E40" s="25">
        <v>19</v>
      </c>
      <c r="F40" s="26"/>
    </row>
    <row r="41" spans="1:6">
      <c r="A41" s="6" t="s">
        <v>59</v>
      </c>
      <c r="B41" s="6" t="s">
        <v>27</v>
      </c>
      <c r="C41" s="6" t="s">
        <v>50</v>
      </c>
      <c r="D41" s="6" t="s">
        <v>28</v>
      </c>
      <c r="E41" s="25">
        <v>1</v>
      </c>
      <c r="F41" s="26"/>
    </row>
    <row r="42" spans="1:6">
      <c r="A42" s="6" t="s">
        <v>60</v>
      </c>
      <c r="B42" s="6" t="s">
        <v>27</v>
      </c>
      <c r="C42" s="6" t="s">
        <v>50</v>
      </c>
      <c r="D42" s="6" t="s">
        <v>11</v>
      </c>
      <c r="E42" s="25">
        <v>3</v>
      </c>
      <c r="F42" s="26"/>
    </row>
    <row r="43" spans="1:6">
      <c r="A43" s="6" t="s">
        <v>61</v>
      </c>
      <c r="B43" s="6" t="s">
        <v>7</v>
      </c>
      <c r="C43" s="6" t="s">
        <v>50</v>
      </c>
      <c r="D43" s="6" t="s">
        <v>28</v>
      </c>
      <c r="E43" s="25">
        <v>37</v>
      </c>
      <c r="F43" s="26"/>
    </row>
    <row r="44" spans="1:6">
      <c r="A44" s="6" t="s">
        <v>62</v>
      </c>
      <c r="B44" s="6" t="s">
        <v>19</v>
      </c>
      <c r="C44" s="6" t="s">
        <v>50</v>
      </c>
      <c r="D44" s="6" t="s">
        <v>13</v>
      </c>
      <c r="E44" s="25">
        <v>6</v>
      </c>
      <c r="F44" s="26"/>
    </row>
    <row r="45" spans="1:6">
      <c r="A45" s="6" t="s">
        <v>63</v>
      </c>
      <c r="B45" s="6" t="s">
        <v>27</v>
      </c>
      <c r="C45" s="6" t="s">
        <v>50</v>
      </c>
      <c r="D45" s="6" t="s">
        <v>24</v>
      </c>
      <c r="E45" s="25">
        <v>21.5</v>
      </c>
      <c r="F45" s="26"/>
    </row>
    <row r="46" spans="1:6">
      <c r="A46" s="6" t="s">
        <v>64</v>
      </c>
      <c r="B46" s="6" t="s">
        <v>27</v>
      </c>
      <c r="C46" s="6" t="s">
        <v>50</v>
      </c>
      <c r="D46" s="6" t="s">
        <v>13</v>
      </c>
      <c r="E46" s="25">
        <v>0.5</v>
      </c>
      <c r="F46" s="26"/>
    </row>
    <row r="47" spans="1:6">
      <c r="A47" s="7" t="s">
        <v>65</v>
      </c>
      <c r="B47" s="7" t="s">
        <v>27</v>
      </c>
      <c r="C47" s="7" t="s">
        <v>66</v>
      </c>
      <c r="D47" s="7" t="s">
        <v>20</v>
      </c>
      <c r="E47" s="25">
        <v>5</v>
      </c>
      <c r="F47" s="26"/>
    </row>
    <row r="48" spans="1:6">
      <c r="A48" s="7" t="s">
        <v>67</v>
      </c>
      <c r="B48" s="7" t="s">
        <v>19</v>
      </c>
      <c r="C48" s="7" t="s">
        <v>66</v>
      </c>
      <c r="D48" s="7" t="s">
        <v>9</v>
      </c>
      <c r="E48" s="25">
        <v>0.5</v>
      </c>
      <c r="F48" s="26"/>
    </row>
    <row r="49" spans="1:6">
      <c r="A49" s="7" t="s">
        <v>68</v>
      </c>
      <c r="B49" s="7" t="s">
        <v>7</v>
      </c>
      <c r="C49" s="7" t="s">
        <v>66</v>
      </c>
      <c r="D49" s="7" t="s">
        <v>24</v>
      </c>
      <c r="E49" s="25">
        <v>21.5</v>
      </c>
      <c r="F49" s="26"/>
    </row>
    <row r="50" spans="1:6">
      <c r="A50" s="7" t="s">
        <v>69</v>
      </c>
      <c r="B50" s="7" t="s">
        <v>7</v>
      </c>
      <c r="C50" s="7" t="s">
        <v>66</v>
      </c>
      <c r="D50" s="7" t="s">
        <v>17</v>
      </c>
      <c r="E50" s="25">
        <v>21.5</v>
      </c>
      <c r="F50" s="26"/>
    </row>
    <row r="51" spans="1:6">
      <c r="A51" s="7" t="s">
        <v>70</v>
      </c>
      <c r="B51" s="7" t="s">
        <v>19</v>
      </c>
      <c r="C51" s="7" t="s">
        <v>66</v>
      </c>
      <c r="D51" s="7" t="s">
        <v>20</v>
      </c>
      <c r="E51" s="25">
        <v>15</v>
      </c>
      <c r="F51" s="26"/>
    </row>
    <row r="52" spans="1:6">
      <c r="A52" s="7" t="s">
        <v>71</v>
      </c>
      <c r="B52" s="7" t="s">
        <v>27</v>
      </c>
      <c r="C52" s="7" t="s">
        <v>66</v>
      </c>
      <c r="D52" s="7" t="s">
        <v>20</v>
      </c>
      <c r="E52" s="25">
        <v>0.5</v>
      </c>
      <c r="F52" s="26"/>
    </row>
    <row r="53" spans="1:6">
      <c r="A53" s="7" t="s">
        <v>72</v>
      </c>
      <c r="B53" s="7" t="s">
        <v>27</v>
      </c>
      <c r="C53" s="7" t="s">
        <v>66</v>
      </c>
      <c r="D53" s="7" t="s">
        <v>13</v>
      </c>
      <c r="E53" s="25">
        <v>0.5</v>
      </c>
      <c r="F53" s="26"/>
    </row>
    <row r="54" spans="1:6">
      <c r="A54" s="7" t="s">
        <v>73</v>
      </c>
      <c r="B54" s="7" t="s">
        <v>27</v>
      </c>
      <c r="C54" s="7" t="s">
        <v>66</v>
      </c>
      <c r="D54" s="7" t="s">
        <v>24</v>
      </c>
      <c r="E54" s="25">
        <v>0</v>
      </c>
      <c r="F54" s="26" t="s">
        <v>74</v>
      </c>
    </row>
    <row r="55" spans="1:6">
      <c r="A55" s="7" t="s">
        <v>75</v>
      </c>
      <c r="B55" s="7" t="s">
        <v>27</v>
      </c>
      <c r="C55" s="7" t="s">
        <v>66</v>
      </c>
      <c r="D55" s="7" t="s">
        <v>17</v>
      </c>
      <c r="E55" s="25">
        <v>15.5</v>
      </c>
      <c r="F55" s="26"/>
    </row>
    <row r="56" spans="1:6">
      <c r="A56" s="7" t="s">
        <v>76</v>
      </c>
      <c r="B56" s="7" t="s">
        <v>27</v>
      </c>
      <c r="C56" s="7" t="s">
        <v>66</v>
      </c>
      <c r="D56" s="7" t="s">
        <v>11</v>
      </c>
      <c r="E56" s="25">
        <v>13</v>
      </c>
      <c r="F56" s="26"/>
    </row>
    <row r="57" spans="1:6">
      <c r="A57" s="7" t="s">
        <v>77</v>
      </c>
      <c r="B57" s="7" t="s">
        <v>15</v>
      </c>
      <c r="C57" s="7" t="s">
        <v>66</v>
      </c>
      <c r="D57" s="7" t="s">
        <v>9</v>
      </c>
      <c r="E57" s="25">
        <v>25</v>
      </c>
      <c r="F57" s="26"/>
    </row>
    <row r="58" spans="1:6">
      <c r="A58" s="7" t="s">
        <v>78</v>
      </c>
      <c r="B58" s="7" t="s">
        <v>19</v>
      </c>
      <c r="C58" s="7" t="s">
        <v>66</v>
      </c>
      <c r="D58" s="7" t="s">
        <v>9</v>
      </c>
      <c r="E58" s="25">
        <v>14.5</v>
      </c>
      <c r="F58" s="26"/>
    </row>
    <row r="59" spans="1:6">
      <c r="A59" s="7" t="s">
        <v>79</v>
      </c>
      <c r="B59" s="7" t="s">
        <v>27</v>
      </c>
      <c r="C59" s="7" t="s">
        <v>66</v>
      </c>
      <c r="D59" s="7" t="s">
        <v>13</v>
      </c>
      <c r="E59" s="25">
        <v>0.5</v>
      </c>
      <c r="F59" s="26"/>
    </row>
    <row r="60" spans="1:6">
      <c r="A60" s="7" t="s">
        <v>80</v>
      </c>
      <c r="B60" s="7" t="s">
        <v>7</v>
      </c>
      <c r="C60" s="7" t="s">
        <v>66</v>
      </c>
      <c r="D60" s="7" t="s">
        <v>13</v>
      </c>
      <c r="E60" s="25">
        <v>3</v>
      </c>
      <c r="F60" s="26" t="s">
        <v>81</v>
      </c>
    </row>
    <row r="61" spans="1:6">
      <c r="A61" s="7" t="s">
        <v>82</v>
      </c>
      <c r="B61" s="7" t="s">
        <v>19</v>
      </c>
      <c r="C61" s="7" t="s">
        <v>66</v>
      </c>
      <c r="D61" s="7" t="s">
        <v>24</v>
      </c>
      <c r="E61" s="25">
        <v>18.5</v>
      </c>
      <c r="F61" s="26"/>
    </row>
    <row r="62" spans="1:6">
      <c r="A62" s="7" t="s">
        <v>83</v>
      </c>
      <c r="B62" s="7" t="s">
        <v>15</v>
      </c>
      <c r="C62" s="7" t="s">
        <v>66</v>
      </c>
      <c r="D62" s="7" t="s">
        <v>20</v>
      </c>
      <c r="E62" s="25">
        <v>13.5</v>
      </c>
      <c r="F62" s="26"/>
    </row>
    <row r="63" spans="1:6">
      <c r="A63" s="8" t="s">
        <v>84</v>
      </c>
      <c r="B63" s="8" t="s">
        <v>27</v>
      </c>
      <c r="C63" s="8" t="s">
        <v>85</v>
      </c>
      <c r="D63" s="8"/>
      <c r="E63" s="25"/>
      <c r="F63" s="26"/>
    </row>
    <row r="64" spans="1:6">
      <c r="A64" s="8" t="s">
        <v>86</v>
      </c>
      <c r="B64" s="8" t="s">
        <v>27</v>
      </c>
      <c r="C64" s="8" t="s">
        <v>85</v>
      </c>
      <c r="D64" s="8"/>
      <c r="E64" s="25"/>
      <c r="F64" s="26"/>
    </row>
    <row r="65" spans="1:6">
      <c r="A65" s="8" t="s">
        <v>87</v>
      </c>
      <c r="B65" s="8" t="s">
        <v>15</v>
      </c>
      <c r="C65" s="8" t="s">
        <v>85</v>
      </c>
      <c r="D65" s="8" t="s">
        <v>17</v>
      </c>
      <c r="E65" s="25">
        <v>4.5</v>
      </c>
      <c r="F65" s="26"/>
    </row>
    <row r="66" spans="1:6">
      <c r="A66" s="8" t="s">
        <v>88</v>
      </c>
      <c r="B66" s="8" t="s">
        <v>7</v>
      </c>
      <c r="C66" s="8" t="s">
        <v>85</v>
      </c>
      <c r="D66" s="8"/>
      <c r="E66" s="25"/>
      <c r="F66" s="26"/>
    </row>
    <row r="67" spans="1:6">
      <c r="A67" s="8" t="s">
        <v>89</v>
      </c>
      <c r="B67" s="8" t="s">
        <v>27</v>
      </c>
      <c r="C67" s="8" t="s">
        <v>85</v>
      </c>
      <c r="D67" s="8"/>
      <c r="E67" s="25"/>
      <c r="F67" s="26"/>
    </row>
    <row r="68" spans="1:6">
      <c r="A68" s="8" t="s">
        <v>90</v>
      </c>
      <c r="B68" s="8" t="s">
        <v>27</v>
      </c>
      <c r="C68" s="8" t="s">
        <v>85</v>
      </c>
      <c r="D68" s="8" t="s">
        <v>9</v>
      </c>
      <c r="E68" s="25">
        <v>0.5</v>
      </c>
      <c r="F68" s="26"/>
    </row>
    <row r="69" spans="1:6">
      <c r="A69" s="8" t="s">
        <v>91</v>
      </c>
      <c r="B69" s="8" t="s">
        <v>15</v>
      </c>
      <c r="C69" s="8" t="s">
        <v>85</v>
      </c>
      <c r="D69" s="8"/>
      <c r="E69" s="25"/>
      <c r="F69" s="26"/>
    </row>
    <row r="70" spans="1:6">
      <c r="A70" s="8" t="s">
        <v>92</v>
      </c>
      <c r="B70" s="8" t="s">
        <v>7</v>
      </c>
      <c r="C70" s="8" t="s">
        <v>85</v>
      </c>
      <c r="D70" s="8" t="s">
        <v>24</v>
      </c>
      <c r="E70" s="25">
        <v>6</v>
      </c>
      <c r="F70" s="26"/>
    </row>
    <row r="71" spans="1:6">
      <c r="A71" s="8" t="s">
        <v>93</v>
      </c>
      <c r="B71" s="8" t="s">
        <v>7</v>
      </c>
      <c r="C71" s="8" t="s">
        <v>85</v>
      </c>
      <c r="D71" s="8"/>
      <c r="E71" s="25"/>
      <c r="F71" s="26"/>
    </row>
    <row r="72" spans="1:6">
      <c r="A72" s="8" t="s">
        <v>94</v>
      </c>
      <c r="B72" s="8"/>
      <c r="C72" s="8" t="s">
        <v>85</v>
      </c>
      <c r="D72" s="8"/>
      <c r="E72" s="25"/>
      <c r="F72" s="26"/>
    </row>
    <row r="73" spans="1:6">
      <c r="A73" s="8" t="s">
        <v>95</v>
      </c>
      <c r="B73" s="8" t="s">
        <v>7</v>
      </c>
      <c r="C73" s="8" t="s">
        <v>85</v>
      </c>
      <c r="D73" s="8"/>
      <c r="E73" s="25"/>
      <c r="F73" s="26"/>
    </row>
    <row r="74" spans="1:6">
      <c r="A74" s="8" t="s">
        <v>96</v>
      </c>
      <c r="B74" s="8" t="s">
        <v>7</v>
      </c>
      <c r="C74" s="8" t="s">
        <v>85</v>
      </c>
      <c r="D74" s="8" t="s">
        <v>9</v>
      </c>
      <c r="E74" s="25">
        <v>0.5</v>
      </c>
      <c r="F74" s="26"/>
    </row>
    <row r="75" spans="1:6">
      <c r="A75" s="8" t="s">
        <v>97</v>
      </c>
      <c r="B75" s="8" t="s">
        <v>27</v>
      </c>
      <c r="C75" s="8" t="s">
        <v>85</v>
      </c>
      <c r="D75" s="8"/>
      <c r="E75" s="25"/>
      <c r="F75" s="26"/>
    </row>
    <row r="76" spans="1:6">
      <c r="A76" s="8" t="s">
        <v>98</v>
      </c>
      <c r="B76" s="8" t="s">
        <v>7</v>
      </c>
      <c r="C76" s="8" t="s">
        <v>85</v>
      </c>
      <c r="D76" s="8" t="s">
        <v>11</v>
      </c>
      <c r="E76" s="25">
        <v>9.5</v>
      </c>
      <c r="F76" s="26"/>
    </row>
    <row r="77" spans="1:6">
      <c r="A77" s="8" t="s">
        <v>99</v>
      </c>
      <c r="B77" s="8" t="s">
        <v>19</v>
      </c>
      <c r="C77" s="8" t="s">
        <v>85</v>
      </c>
      <c r="D77" s="8"/>
      <c r="E77" s="25"/>
      <c r="F77" s="26"/>
    </row>
    <row r="78" spans="1:6">
      <c r="A78" s="9" t="s">
        <v>100</v>
      </c>
      <c r="B78" s="9" t="s">
        <v>15</v>
      </c>
      <c r="C78" s="9" t="s">
        <v>101</v>
      </c>
      <c r="D78" s="9"/>
      <c r="E78" s="25"/>
      <c r="F78" s="26"/>
    </row>
    <row r="79" spans="1:6">
      <c r="A79" s="9" t="s">
        <v>102</v>
      </c>
      <c r="B79" s="9" t="s">
        <v>27</v>
      </c>
      <c r="C79" s="9" t="s">
        <v>101</v>
      </c>
      <c r="D79" s="9"/>
      <c r="E79" s="25"/>
      <c r="F79" s="26"/>
    </row>
    <row r="80" spans="1:6">
      <c r="A80" s="9" t="s">
        <v>103</v>
      </c>
      <c r="B80" s="9" t="s">
        <v>7</v>
      </c>
      <c r="C80" s="9" t="s">
        <v>101</v>
      </c>
      <c r="D80" s="9"/>
      <c r="E80" s="25"/>
      <c r="F80" s="26"/>
    </row>
    <row r="81" spans="1:6">
      <c r="A81" s="9" t="s">
        <v>104</v>
      </c>
      <c r="B81" s="9" t="s">
        <v>27</v>
      </c>
      <c r="C81" s="9" t="s">
        <v>101</v>
      </c>
      <c r="D81" s="9"/>
      <c r="E81" s="25"/>
      <c r="F81" s="26"/>
    </row>
    <row r="82" spans="1:6">
      <c r="A82" s="9" t="s">
        <v>105</v>
      </c>
      <c r="B82" s="9" t="s">
        <v>7</v>
      </c>
      <c r="C82" s="9" t="s">
        <v>101</v>
      </c>
      <c r="D82" s="9"/>
      <c r="E82" s="25"/>
      <c r="F82" s="26"/>
    </row>
    <row r="83" spans="1:6">
      <c r="A83" s="9" t="s">
        <v>106</v>
      </c>
      <c r="B83" s="9" t="s">
        <v>7</v>
      </c>
      <c r="C83" s="9" t="s">
        <v>101</v>
      </c>
      <c r="D83" s="9"/>
      <c r="E83" s="25"/>
      <c r="F83" s="26"/>
    </row>
    <row r="84" spans="1:6">
      <c r="A84" s="9" t="s">
        <v>107</v>
      </c>
      <c r="B84" s="9" t="s">
        <v>27</v>
      </c>
      <c r="C84" s="9" t="s">
        <v>101</v>
      </c>
      <c r="D84" s="9"/>
      <c r="E84" s="25"/>
      <c r="F84" s="26"/>
    </row>
    <row r="85" spans="1:6">
      <c r="A85" s="9" t="s">
        <v>108</v>
      </c>
      <c r="B85" s="9" t="s">
        <v>27</v>
      </c>
      <c r="C85" s="9" t="s">
        <v>101</v>
      </c>
      <c r="D85" s="9"/>
      <c r="E85" s="25"/>
      <c r="F85" s="26"/>
    </row>
    <row r="86" spans="1:6">
      <c r="A86" s="9" t="s">
        <v>109</v>
      </c>
      <c r="B86" s="9" t="s">
        <v>19</v>
      </c>
      <c r="C86" s="9" t="s">
        <v>101</v>
      </c>
      <c r="D86" s="9"/>
      <c r="E86" s="25"/>
      <c r="F86" s="26"/>
    </row>
    <row r="87" spans="1:6">
      <c r="A87" s="9" t="s">
        <v>110</v>
      </c>
      <c r="B87" s="9" t="s">
        <v>19</v>
      </c>
      <c r="C87" s="9" t="s">
        <v>101</v>
      </c>
      <c r="D87" s="9"/>
      <c r="E87" s="25"/>
      <c r="F87" s="26"/>
    </row>
    <row r="88" spans="1:6">
      <c r="A88" s="9" t="s">
        <v>111</v>
      </c>
      <c r="B88" s="9" t="s">
        <v>7</v>
      </c>
      <c r="C88" s="9" t="s">
        <v>101</v>
      </c>
      <c r="D88" s="9" t="s">
        <v>28</v>
      </c>
      <c r="E88" s="25">
        <v>1</v>
      </c>
      <c r="F88" s="26"/>
    </row>
    <row r="89" spans="1:6">
      <c r="A89" s="9" t="s">
        <v>112</v>
      </c>
      <c r="B89" s="9" t="s">
        <v>15</v>
      </c>
      <c r="C89" s="9" t="s">
        <v>101</v>
      </c>
      <c r="D89" s="9"/>
      <c r="E89" s="25"/>
      <c r="F89" s="26"/>
    </row>
    <row r="90" spans="1:6">
      <c r="A90" s="9" t="s">
        <v>113</v>
      </c>
      <c r="B90" s="9" t="s">
        <v>19</v>
      </c>
      <c r="C90" s="9" t="s">
        <v>101</v>
      </c>
      <c r="D90" s="9"/>
      <c r="E90" s="25"/>
      <c r="F90" s="26"/>
    </row>
    <row r="91" spans="1:6">
      <c r="A91" s="9" t="s">
        <v>114</v>
      </c>
      <c r="B91" s="9" t="s">
        <v>27</v>
      </c>
      <c r="C91" s="9" t="s">
        <v>101</v>
      </c>
      <c r="D91" s="9"/>
      <c r="E91" s="25"/>
      <c r="F91" s="26"/>
    </row>
    <row r="92" spans="1:6">
      <c r="A92" s="9" t="s">
        <v>115</v>
      </c>
      <c r="B92" s="9" t="s">
        <v>19</v>
      </c>
      <c r="C92" s="9" t="s">
        <v>101</v>
      </c>
      <c r="D92" s="9" t="s">
        <v>13</v>
      </c>
      <c r="E92" s="25">
        <v>1</v>
      </c>
      <c r="F92" s="26"/>
    </row>
    <row r="93" spans="1:6">
      <c r="A93" s="10" t="s">
        <v>116</v>
      </c>
      <c r="B93" s="10" t="s">
        <v>27</v>
      </c>
      <c r="C93" s="10" t="s">
        <v>117</v>
      </c>
      <c r="D93" s="10" t="s">
        <v>11</v>
      </c>
      <c r="E93" s="25">
        <v>1</v>
      </c>
      <c r="F93" s="26"/>
    </row>
    <row r="94" spans="1:6">
      <c r="A94" s="10" t="s">
        <v>118</v>
      </c>
      <c r="B94" s="10" t="s">
        <v>7</v>
      </c>
      <c r="C94" s="10" t="s">
        <v>117</v>
      </c>
      <c r="D94" s="10" t="s">
        <v>9</v>
      </c>
      <c r="E94" s="25">
        <v>1</v>
      </c>
      <c r="F94" s="26"/>
    </row>
    <row r="95" spans="1:6">
      <c r="A95" s="10" t="s">
        <v>119</v>
      </c>
      <c r="B95" s="10" t="s">
        <v>7</v>
      </c>
      <c r="C95" s="10" t="s">
        <v>117</v>
      </c>
      <c r="D95" s="10"/>
      <c r="E95" s="25"/>
      <c r="F95" s="26"/>
    </row>
    <row r="96" spans="1:6">
      <c r="A96" s="10" t="s">
        <v>120</v>
      </c>
      <c r="B96" s="10" t="s">
        <v>19</v>
      </c>
      <c r="C96" s="10" t="s">
        <v>117</v>
      </c>
      <c r="D96" s="10" t="s">
        <v>17</v>
      </c>
      <c r="E96" s="25">
        <v>1</v>
      </c>
      <c r="F96" s="26"/>
    </row>
    <row r="97" spans="1:6">
      <c r="A97" s="10" t="s">
        <v>121</v>
      </c>
      <c r="B97" s="10" t="s">
        <v>15</v>
      </c>
      <c r="C97" s="10" t="s">
        <v>117</v>
      </c>
      <c r="D97" s="10"/>
      <c r="E97" s="25"/>
      <c r="F97" s="26"/>
    </row>
    <row r="98" spans="1:6">
      <c r="A98" s="10" t="s">
        <v>122</v>
      </c>
      <c r="B98" s="10" t="s">
        <v>19</v>
      </c>
      <c r="C98" s="10" t="s">
        <v>117</v>
      </c>
      <c r="D98" s="10" t="s">
        <v>28</v>
      </c>
      <c r="E98" s="25">
        <v>1</v>
      </c>
      <c r="F98" s="26"/>
    </row>
    <row r="99" spans="1:6">
      <c r="A99" s="10" t="s">
        <v>123</v>
      </c>
      <c r="B99" s="10" t="s">
        <v>27</v>
      </c>
      <c r="C99" s="10" t="s">
        <v>117</v>
      </c>
      <c r="D99" s="10" t="s">
        <v>20</v>
      </c>
      <c r="E99" s="25">
        <v>6</v>
      </c>
      <c r="F99" s="26"/>
    </row>
    <row r="100" spans="1:6">
      <c r="A100" s="10" t="s">
        <v>124</v>
      </c>
      <c r="B100" s="10" t="s">
        <v>27</v>
      </c>
      <c r="C100" s="10" t="s">
        <v>117</v>
      </c>
      <c r="D100" s="10" t="s">
        <v>28</v>
      </c>
      <c r="E100" s="25">
        <v>10.5</v>
      </c>
      <c r="F100" s="26"/>
    </row>
    <row r="101" spans="1:6">
      <c r="A101" s="10" t="s">
        <v>125</v>
      </c>
      <c r="B101" s="10" t="s">
        <v>19</v>
      </c>
      <c r="C101" s="10" t="s">
        <v>117</v>
      </c>
      <c r="D101" s="10"/>
      <c r="E101" s="25"/>
      <c r="F101" s="26"/>
    </row>
    <row r="102" spans="1:6">
      <c r="A102" s="10" t="s">
        <v>126</v>
      </c>
      <c r="B102" s="10" t="s">
        <v>7</v>
      </c>
      <c r="C102" s="10" t="s">
        <v>117</v>
      </c>
      <c r="D102" s="10" t="s">
        <v>13</v>
      </c>
      <c r="E102" s="25">
        <v>40</v>
      </c>
      <c r="F102" s="26"/>
    </row>
    <row r="103" spans="1:6">
      <c r="A103" s="10" t="s">
        <v>127</v>
      </c>
      <c r="B103" s="10" t="s">
        <v>7</v>
      </c>
      <c r="C103" s="10" t="s">
        <v>117</v>
      </c>
      <c r="D103" s="10"/>
      <c r="E103" s="25"/>
      <c r="F103" s="26"/>
    </row>
    <row r="104" spans="1:6">
      <c r="A104" s="10" t="s">
        <v>128</v>
      </c>
      <c r="B104" s="10" t="s">
        <v>15</v>
      </c>
      <c r="C104" s="10" t="s">
        <v>117</v>
      </c>
      <c r="D104" s="10" t="s">
        <v>24</v>
      </c>
      <c r="E104" s="25">
        <v>1</v>
      </c>
      <c r="F104" s="26"/>
    </row>
    <row r="105" spans="1:6">
      <c r="A105" s="10" t="s">
        <v>129</v>
      </c>
      <c r="B105" s="10" t="s">
        <v>27</v>
      </c>
      <c r="C105" s="10" t="s">
        <v>117</v>
      </c>
      <c r="D105" s="10" t="s">
        <v>11</v>
      </c>
      <c r="E105" s="25">
        <v>2</v>
      </c>
      <c r="F105" s="26"/>
    </row>
    <row r="106" spans="1:6">
      <c r="A106" s="10" t="s">
        <v>130</v>
      </c>
      <c r="B106" s="10" t="s">
        <v>7</v>
      </c>
      <c r="C106" s="10" t="s">
        <v>117</v>
      </c>
      <c r="D106" s="10" t="s">
        <v>20</v>
      </c>
      <c r="E106" s="25">
        <v>13</v>
      </c>
      <c r="F106" s="26"/>
    </row>
    <row r="107" spans="1:6">
      <c r="A107" s="10" t="s">
        <v>131</v>
      </c>
      <c r="B107" s="10" t="s">
        <v>7</v>
      </c>
      <c r="C107" s="10" t="s">
        <v>117</v>
      </c>
      <c r="D107" s="10" t="s">
        <v>17</v>
      </c>
      <c r="E107" s="25">
        <v>13</v>
      </c>
      <c r="F107" s="26"/>
    </row>
    <row r="108" spans="1:6">
      <c r="A108" s="11" t="s">
        <v>132</v>
      </c>
      <c r="B108" s="11" t="s">
        <v>7</v>
      </c>
      <c r="C108" s="11" t="s">
        <v>133</v>
      </c>
      <c r="D108" s="11"/>
      <c r="E108" s="25"/>
      <c r="F108" s="26"/>
    </row>
    <row r="109" spans="1:6">
      <c r="A109" s="11" t="s">
        <v>134</v>
      </c>
      <c r="B109" s="11" t="s">
        <v>19</v>
      </c>
      <c r="C109" s="11" t="s">
        <v>133</v>
      </c>
      <c r="D109" s="11" t="s">
        <v>17</v>
      </c>
      <c r="E109" s="25">
        <v>1</v>
      </c>
      <c r="F109" s="26"/>
    </row>
    <row r="110" spans="1:6">
      <c r="A110" s="11" t="s">
        <v>135</v>
      </c>
      <c r="B110" s="11" t="s">
        <v>27</v>
      </c>
      <c r="C110" s="11" t="s">
        <v>133</v>
      </c>
      <c r="D110" s="11"/>
      <c r="E110" s="25"/>
      <c r="F110" s="26"/>
    </row>
    <row r="111" spans="1:6">
      <c r="A111" s="11" t="s">
        <v>136</v>
      </c>
      <c r="B111" s="11" t="s">
        <v>19</v>
      </c>
      <c r="C111" s="11" t="s">
        <v>133</v>
      </c>
      <c r="D111" s="11"/>
      <c r="E111" s="25"/>
      <c r="F111" s="26"/>
    </row>
    <row r="112" spans="1:6">
      <c r="A112" s="11" t="s">
        <v>137</v>
      </c>
      <c r="B112" s="11" t="s">
        <v>7</v>
      </c>
      <c r="C112" s="11" t="s">
        <v>133</v>
      </c>
      <c r="D112" s="11" t="s">
        <v>13</v>
      </c>
      <c r="E112" s="25">
        <v>8</v>
      </c>
      <c r="F112" s="26"/>
    </row>
    <row r="113" spans="1:6">
      <c r="A113" s="11" t="s">
        <v>138</v>
      </c>
      <c r="B113" s="11" t="s">
        <v>15</v>
      </c>
      <c r="C113" s="11" t="s">
        <v>133</v>
      </c>
      <c r="D113" s="11"/>
      <c r="E113" s="25"/>
      <c r="F113" s="26"/>
    </row>
    <row r="114" spans="1:6">
      <c r="A114" s="11" t="s">
        <v>139</v>
      </c>
      <c r="B114" s="11" t="s">
        <v>19</v>
      </c>
      <c r="C114" s="11" t="s">
        <v>133</v>
      </c>
      <c r="D114" s="11"/>
      <c r="E114" s="25"/>
      <c r="F114" s="26"/>
    </row>
    <row r="115" spans="1:6">
      <c r="A115" s="11" t="s">
        <v>140</v>
      </c>
      <c r="B115" s="11" t="s">
        <v>15</v>
      </c>
      <c r="C115" s="11" t="s">
        <v>133</v>
      </c>
      <c r="D115" s="11" t="s">
        <v>28</v>
      </c>
      <c r="E115" s="25">
        <v>2</v>
      </c>
      <c r="F115" s="26"/>
    </row>
    <row r="116" spans="1:6">
      <c r="A116" s="11" t="s">
        <v>141</v>
      </c>
      <c r="B116" s="11" t="s">
        <v>27</v>
      </c>
      <c r="C116" s="11" t="s">
        <v>133</v>
      </c>
      <c r="D116" s="11" t="s">
        <v>20</v>
      </c>
      <c r="E116" s="25">
        <v>7</v>
      </c>
      <c r="F116" s="26"/>
    </row>
    <row r="117" spans="1:6">
      <c r="A117" s="11" t="s">
        <v>142</v>
      </c>
      <c r="B117" s="11" t="s">
        <v>7</v>
      </c>
      <c r="C117" s="11" t="s">
        <v>133</v>
      </c>
      <c r="D117" s="11"/>
      <c r="E117" s="25"/>
      <c r="F117" s="26"/>
    </row>
    <row r="118" spans="1:6">
      <c r="A118" s="11" t="s">
        <v>143</v>
      </c>
      <c r="B118" s="11" t="s">
        <v>27</v>
      </c>
      <c r="C118" s="11" t="s">
        <v>133</v>
      </c>
      <c r="D118" s="11"/>
      <c r="E118" s="25"/>
      <c r="F118" s="26"/>
    </row>
    <row r="119" spans="1:6">
      <c r="A119" s="11" t="s">
        <v>144</v>
      </c>
      <c r="B119" s="11" t="s">
        <v>27</v>
      </c>
      <c r="C119" s="11" t="s">
        <v>133</v>
      </c>
      <c r="D119" s="11" t="s">
        <v>17</v>
      </c>
      <c r="E119" s="25">
        <v>9.5</v>
      </c>
      <c r="F119" s="26"/>
    </row>
    <row r="120" spans="1:6">
      <c r="A120" s="11" t="s">
        <v>145</v>
      </c>
      <c r="B120" s="11" t="s">
        <v>7</v>
      </c>
      <c r="C120" s="11" t="s">
        <v>133</v>
      </c>
      <c r="D120" s="11"/>
      <c r="E120" s="25"/>
      <c r="F120" s="26"/>
    </row>
    <row r="121" spans="1:6">
      <c r="A121" s="11" t="s">
        <v>146</v>
      </c>
      <c r="B121" s="11" t="s">
        <v>27</v>
      </c>
      <c r="C121" s="11" t="s">
        <v>133</v>
      </c>
      <c r="D121" s="11"/>
      <c r="E121" s="25"/>
      <c r="F121" s="26"/>
    </row>
    <row r="122" spans="1:6">
      <c r="A122" s="11" t="s">
        <v>147</v>
      </c>
      <c r="B122" s="11" t="s">
        <v>27</v>
      </c>
      <c r="C122" s="11" t="s">
        <v>133</v>
      </c>
      <c r="D122" s="11"/>
      <c r="E122" s="25"/>
      <c r="F122" s="26"/>
    </row>
    <row r="123" spans="1:6">
      <c r="A123" s="12" t="s">
        <v>148</v>
      </c>
      <c r="B123" s="12" t="s">
        <v>27</v>
      </c>
      <c r="C123" s="12" t="s">
        <v>149</v>
      </c>
      <c r="D123" s="12" t="s">
        <v>9</v>
      </c>
      <c r="E123" s="25">
        <v>2</v>
      </c>
      <c r="F123" s="26" t="s">
        <v>81</v>
      </c>
    </row>
    <row r="124" spans="1:6">
      <c r="A124" s="12" t="s">
        <v>150</v>
      </c>
      <c r="B124" s="12" t="s">
        <v>15</v>
      </c>
      <c r="C124" s="12" t="s">
        <v>149</v>
      </c>
      <c r="D124" s="12"/>
      <c r="E124" s="25"/>
      <c r="F124" s="26"/>
    </row>
    <row r="125" spans="1:6">
      <c r="A125" s="12" t="s">
        <v>151</v>
      </c>
      <c r="B125" s="12" t="s">
        <v>27</v>
      </c>
      <c r="C125" s="12" t="s">
        <v>149</v>
      </c>
      <c r="D125" s="12"/>
      <c r="E125" s="25"/>
      <c r="F125" s="26"/>
    </row>
    <row r="126" spans="1:6">
      <c r="A126" s="12" t="s">
        <v>152</v>
      </c>
      <c r="B126" s="12" t="s">
        <v>7</v>
      </c>
      <c r="C126" s="12" t="s">
        <v>149</v>
      </c>
      <c r="D126" s="12"/>
      <c r="E126" s="25"/>
      <c r="F126" s="26"/>
    </row>
    <row r="127" spans="1:6">
      <c r="A127" s="12" t="s">
        <v>153</v>
      </c>
      <c r="B127" s="12"/>
      <c r="C127" s="12" t="s">
        <v>149</v>
      </c>
      <c r="D127" s="12"/>
      <c r="E127" s="25"/>
      <c r="F127" s="26"/>
    </row>
    <row r="128" spans="1:6">
      <c r="A128" s="12" t="s">
        <v>154</v>
      </c>
      <c r="B128" s="12" t="s">
        <v>27</v>
      </c>
      <c r="C128" s="12" t="s">
        <v>149</v>
      </c>
      <c r="D128" s="12" t="s">
        <v>9</v>
      </c>
      <c r="E128" s="25">
        <v>0</v>
      </c>
      <c r="F128" s="26" t="s">
        <v>74</v>
      </c>
    </row>
    <row r="129" spans="1:6">
      <c r="A129" s="12" t="s">
        <v>155</v>
      </c>
      <c r="B129" s="12" t="s">
        <v>7</v>
      </c>
      <c r="C129" s="12" t="s">
        <v>149</v>
      </c>
      <c r="D129" s="12"/>
      <c r="E129" s="25"/>
      <c r="F129" s="26"/>
    </row>
    <row r="130" spans="1:6">
      <c r="A130" s="12" t="s">
        <v>156</v>
      </c>
      <c r="B130" s="12" t="s">
        <v>7</v>
      </c>
      <c r="C130" s="12" t="s">
        <v>149</v>
      </c>
      <c r="D130" s="12" t="s">
        <v>28</v>
      </c>
      <c r="E130" s="25">
        <v>8.5</v>
      </c>
      <c r="F130" s="26"/>
    </row>
    <row r="131" spans="1:6">
      <c r="A131" s="12" t="s">
        <v>157</v>
      </c>
      <c r="B131" s="12" t="s">
        <v>27</v>
      </c>
      <c r="C131" s="12" t="s">
        <v>149</v>
      </c>
      <c r="D131" s="12"/>
      <c r="E131" s="25"/>
      <c r="F131" s="26"/>
    </row>
    <row r="132" spans="1:6">
      <c r="A132" s="12" t="s">
        <v>158</v>
      </c>
      <c r="B132" s="12" t="s">
        <v>27</v>
      </c>
      <c r="C132" s="12" t="s">
        <v>149</v>
      </c>
      <c r="D132" s="12"/>
      <c r="E132" s="25"/>
      <c r="F132" s="26"/>
    </row>
    <row r="133" spans="1:6">
      <c r="A133" s="12" t="s">
        <v>159</v>
      </c>
      <c r="B133" s="12" t="s">
        <v>19</v>
      </c>
      <c r="C133" s="12" t="s">
        <v>149</v>
      </c>
      <c r="D133" s="12"/>
      <c r="E133" s="25"/>
      <c r="F133" s="26"/>
    </row>
    <row r="134" spans="1:6">
      <c r="A134" s="12" t="s">
        <v>160</v>
      </c>
      <c r="B134" s="12" t="s">
        <v>7</v>
      </c>
      <c r="C134" s="12" t="s">
        <v>149</v>
      </c>
      <c r="D134" s="12"/>
      <c r="E134" s="25"/>
      <c r="F134" s="26"/>
    </row>
    <row r="135" spans="1:6">
      <c r="A135" s="12" t="s">
        <v>161</v>
      </c>
      <c r="B135" s="12" t="s">
        <v>15</v>
      </c>
      <c r="C135" s="12" t="s">
        <v>149</v>
      </c>
      <c r="D135" s="12" t="s">
        <v>13</v>
      </c>
      <c r="E135" s="25">
        <v>0.5</v>
      </c>
      <c r="F135" s="26"/>
    </row>
    <row r="136" spans="1:6">
      <c r="A136" s="12" t="s">
        <v>162</v>
      </c>
      <c r="B136" s="12" t="s">
        <v>7</v>
      </c>
      <c r="C136" s="12" t="s">
        <v>149</v>
      </c>
      <c r="D136" s="12"/>
      <c r="E136" s="25"/>
      <c r="F136" s="26"/>
    </row>
    <row r="137" spans="1:6">
      <c r="A137" s="12" t="s">
        <v>163</v>
      </c>
      <c r="B137" s="12" t="s">
        <v>27</v>
      </c>
      <c r="C137" s="12" t="s">
        <v>149</v>
      </c>
      <c r="D137" s="12"/>
      <c r="E137" s="25"/>
      <c r="F137" s="26"/>
    </row>
    <row r="138" spans="1:6">
      <c r="A138" s="12" t="s">
        <v>164</v>
      </c>
      <c r="B138" s="12" t="s">
        <v>15</v>
      </c>
      <c r="C138" s="12" t="s">
        <v>149</v>
      </c>
      <c r="D138" s="12" t="s">
        <v>13</v>
      </c>
      <c r="E138" s="25">
        <v>2</v>
      </c>
      <c r="F138" s="26"/>
    </row>
    <row r="139" spans="1:6">
      <c r="A139" s="13" t="s">
        <v>165</v>
      </c>
      <c r="B139" s="13" t="s">
        <v>7</v>
      </c>
      <c r="C139" s="13" t="s">
        <v>166</v>
      </c>
      <c r="D139" s="13" t="s">
        <v>17</v>
      </c>
      <c r="E139" s="25">
        <v>4.5</v>
      </c>
      <c r="F139" s="26"/>
    </row>
    <row r="140" spans="1:6">
      <c r="A140" s="13" t="s">
        <v>167</v>
      </c>
      <c r="B140" s="13" t="s">
        <v>27</v>
      </c>
      <c r="C140" s="13" t="s">
        <v>166</v>
      </c>
      <c r="D140" s="13" t="s">
        <v>20</v>
      </c>
      <c r="E140" s="25">
        <v>2</v>
      </c>
      <c r="F140" s="26"/>
    </row>
    <row r="141" spans="1:6">
      <c r="A141" s="13" t="s">
        <v>168</v>
      </c>
      <c r="B141" s="13" t="s">
        <v>7</v>
      </c>
      <c r="C141" s="13" t="s">
        <v>166</v>
      </c>
      <c r="D141" s="13" t="s">
        <v>13</v>
      </c>
      <c r="E141" s="25">
        <v>8.5</v>
      </c>
      <c r="F141" s="26"/>
    </row>
    <row r="142" spans="1:6">
      <c r="A142" s="13" t="s">
        <v>169</v>
      </c>
      <c r="B142" s="13" t="s">
        <v>7</v>
      </c>
      <c r="C142" s="13" t="s">
        <v>166</v>
      </c>
      <c r="D142" s="13" t="s">
        <v>24</v>
      </c>
      <c r="E142" s="25">
        <v>2</v>
      </c>
      <c r="F142" s="26"/>
    </row>
    <row r="143" spans="1:6">
      <c r="A143" s="13" t="s">
        <v>170</v>
      </c>
      <c r="B143" s="13" t="s">
        <v>15</v>
      </c>
      <c r="C143" s="13" t="s">
        <v>166</v>
      </c>
      <c r="D143" s="13" t="s">
        <v>13</v>
      </c>
      <c r="E143" s="25">
        <v>0.5</v>
      </c>
      <c r="F143" s="26"/>
    </row>
    <row r="144" spans="1:6">
      <c r="A144" s="13" t="s">
        <v>171</v>
      </c>
      <c r="B144" s="13" t="s">
        <v>7</v>
      </c>
      <c r="C144" s="13" t="s">
        <v>166</v>
      </c>
      <c r="D144" s="13" t="s">
        <v>17</v>
      </c>
      <c r="E144" s="25">
        <v>1</v>
      </c>
      <c r="F144" s="26"/>
    </row>
    <row r="145" spans="1:6">
      <c r="A145" s="13" t="s">
        <v>172</v>
      </c>
      <c r="B145" s="13" t="s">
        <v>19</v>
      </c>
      <c r="C145" s="13" t="s">
        <v>166</v>
      </c>
      <c r="D145" s="13" t="s">
        <v>11</v>
      </c>
      <c r="E145" s="25">
        <v>21</v>
      </c>
      <c r="F145" s="26"/>
    </row>
    <row r="146" spans="1:6">
      <c r="A146" s="13" t="s">
        <v>173</v>
      </c>
      <c r="B146" s="13" t="s">
        <v>7</v>
      </c>
      <c r="C146" s="13" t="s">
        <v>166</v>
      </c>
      <c r="D146" s="13" t="s">
        <v>9</v>
      </c>
      <c r="E146" s="25">
        <v>20.5</v>
      </c>
      <c r="F146" s="26"/>
    </row>
    <row r="147" spans="1:6">
      <c r="A147" s="13" t="s">
        <v>174</v>
      </c>
      <c r="B147" s="13" t="s">
        <v>7</v>
      </c>
      <c r="C147" s="13" t="s">
        <v>166</v>
      </c>
      <c r="D147" s="13" t="s">
        <v>17</v>
      </c>
      <c r="E147" s="25">
        <v>8.5</v>
      </c>
      <c r="F147" s="26"/>
    </row>
    <row r="148" spans="1:6">
      <c r="A148" s="13" t="s">
        <v>175</v>
      </c>
      <c r="B148" s="13" t="s">
        <v>27</v>
      </c>
      <c r="C148" s="13" t="s">
        <v>166</v>
      </c>
      <c r="D148" s="13" t="s">
        <v>11</v>
      </c>
      <c r="E148" s="25">
        <v>6</v>
      </c>
      <c r="F148" s="26"/>
    </row>
    <row r="149" spans="1:6">
      <c r="A149" s="13" t="s">
        <v>176</v>
      </c>
      <c r="B149" s="13" t="s">
        <v>27</v>
      </c>
      <c r="C149" s="13" t="s">
        <v>166</v>
      </c>
      <c r="D149" s="13" t="s">
        <v>20</v>
      </c>
      <c r="E149" s="25">
        <v>14</v>
      </c>
      <c r="F149" s="26"/>
    </row>
    <row r="150" spans="1:6">
      <c r="A150" s="13" t="s">
        <v>177</v>
      </c>
      <c r="B150" s="13" t="s">
        <v>15</v>
      </c>
      <c r="C150" s="13" t="s">
        <v>166</v>
      </c>
      <c r="D150" s="13" t="s">
        <v>24</v>
      </c>
      <c r="E150" s="25">
        <v>1</v>
      </c>
      <c r="F150" s="26"/>
    </row>
    <row r="151" spans="1:6">
      <c r="A151" s="13" t="s">
        <v>178</v>
      </c>
      <c r="B151" s="13" t="s">
        <v>7</v>
      </c>
      <c r="C151" s="13" t="s">
        <v>166</v>
      </c>
      <c r="D151" s="13" t="s">
        <v>20</v>
      </c>
      <c r="E151" s="25">
        <v>10</v>
      </c>
      <c r="F151" s="26"/>
    </row>
    <row r="152" spans="1:6">
      <c r="A152" s="13" t="s">
        <v>179</v>
      </c>
      <c r="B152" s="13" t="s">
        <v>19</v>
      </c>
      <c r="C152" s="13" t="s">
        <v>166</v>
      </c>
      <c r="D152" s="13" t="s">
        <v>28</v>
      </c>
      <c r="E152" s="25">
        <v>6.5</v>
      </c>
      <c r="F152" s="26"/>
    </row>
    <row r="153" spans="1:6">
      <c r="A153" s="13" t="s">
        <v>180</v>
      </c>
      <c r="B153" s="13" t="s">
        <v>27</v>
      </c>
      <c r="C153" s="13" t="s">
        <v>166</v>
      </c>
      <c r="D153" s="13"/>
      <c r="E153" s="25"/>
      <c r="F153" s="26"/>
    </row>
    <row r="154" spans="1:6">
      <c r="A154" s="15" t="s">
        <v>181</v>
      </c>
      <c r="B154" s="15" t="s">
        <v>7</v>
      </c>
      <c r="C154" s="15" t="s">
        <v>182</v>
      </c>
      <c r="D154" s="15" t="s">
        <v>20</v>
      </c>
      <c r="E154" s="25">
        <v>10</v>
      </c>
      <c r="F154" s="26"/>
    </row>
    <row r="155" spans="1:6">
      <c r="A155" s="15" t="s">
        <v>183</v>
      </c>
      <c r="B155" s="15" t="s">
        <v>19</v>
      </c>
      <c r="C155" s="15" t="s">
        <v>182</v>
      </c>
      <c r="D155" s="15"/>
      <c r="E155" s="25"/>
      <c r="F155" s="26"/>
    </row>
    <row r="156" spans="1:6">
      <c r="A156" s="15" t="s">
        <v>184</v>
      </c>
      <c r="B156" s="15" t="s">
        <v>19</v>
      </c>
      <c r="C156" s="15" t="s">
        <v>182</v>
      </c>
      <c r="D156" s="15" t="s">
        <v>9</v>
      </c>
      <c r="E156" s="25">
        <v>1</v>
      </c>
      <c r="F156" s="26"/>
    </row>
    <row r="157" spans="1:6">
      <c r="A157" s="15" t="s">
        <v>185</v>
      </c>
      <c r="B157" s="15" t="s">
        <v>19</v>
      </c>
      <c r="C157" s="15" t="s">
        <v>182</v>
      </c>
      <c r="D157" s="15"/>
      <c r="E157" s="25"/>
      <c r="F157" s="26"/>
    </row>
    <row r="158" spans="1:6">
      <c r="A158" s="15" t="s">
        <v>186</v>
      </c>
      <c r="B158" s="15" t="s">
        <v>19</v>
      </c>
      <c r="C158" s="15" t="s">
        <v>182</v>
      </c>
      <c r="D158" s="15"/>
      <c r="E158" s="25"/>
      <c r="F158" s="26"/>
    </row>
    <row r="159" spans="1:6">
      <c r="A159" s="15" t="s">
        <v>187</v>
      </c>
      <c r="B159" s="15" t="s">
        <v>15</v>
      </c>
      <c r="C159" s="15" t="s">
        <v>182</v>
      </c>
      <c r="D159" s="15"/>
      <c r="E159" s="25"/>
      <c r="F159" s="26"/>
    </row>
    <row r="160" spans="1:6">
      <c r="A160" s="15" t="s">
        <v>188</v>
      </c>
      <c r="B160" s="15" t="s">
        <v>7</v>
      </c>
      <c r="C160" s="15" t="s">
        <v>182</v>
      </c>
      <c r="D160" s="15"/>
      <c r="E160" s="25"/>
      <c r="F160" s="26"/>
    </row>
    <row r="161" spans="1:6">
      <c r="A161" s="15" t="s">
        <v>189</v>
      </c>
      <c r="B161" s="15" t="s">
        <v>27</v>
      </c>
      <c r="C161" s="15" t="s">
        <v>182</v>
      </c>
      <c r="D161" s="15"/>
      <c r="E161" s="25"/>
      <c r="F161" s="26"/>
    </row>
    <row r="162" spans="1:6">
      <c r="A162" s="15" t="s">
        <v>190</v>
      </c>
      <c r="B162" s="15" t="s">
        <v>27</v>
      </c>
      <c r="C162" s="15" t="s">
        <v>182</v>
      </c>
      <c r="D162" s="15"/>
      <c r="E162" s="25"/>
      <c r="F162" s="26"/>
    </row>
    <row r="163" spans="1:6">
      <c r="A163" s="15" t="s">
        <v>191</v>
      </c>
      <c r="B163" s="15" t="s">
        <v>27</v>
      </c>
      <c r="C163" s="15" t="s">
        <v>182</v>
      </c>
      <c r="D163" s="15"/>
      <c r="E163" s="25"/>
      <c r="F163" s="26"/>
    </row>
    <row r="164" spans="1:6">
      <c r="A164" s="15" t="s">
        <v>192</v>
      </c>
      <c r="B164" s="15" t="s">
        <v>19</v>
      </c>
      <c r="C164" s="15" t="s">
        <v>182</v>
      </c>
      <c r="D164" s="15"/>
      <c r="E164" s="25"/>
      <c r="F164" s="26"/>
    </row>
    <row r="165" spans="1:6">
      <c r="A165" s="15" t="s">
        <v>193</v>
      </c>
      <c r="B165" s="15" t="s">
        <v>27</v>
      </c>
      <c r="C165" s="15" t="s">
        <v>182</v>
      </c>
      <c r="D165" s="15"/>
      <c r="E165" s="25"/>
      <c r="F165" s="26"/>
    </row>
    <row r="166" spans="1:6">
      <c r="A166" s="15" t="s">
        <v>194</v>
      </c>
      <c r="B166" s="15" t="s">
        <v>27</v>
      </c>
      <c r="C166" s="15" t="s">
        <v>182</v>
      </c>
      <c r="D166" s="15"/>
      <c r="E166" s="25"/>
      <c r="F166" s="26"/>
    </row>
    <row r="167" spans="1:6">
      <c r="A167" s="15" t="s">
        <v>195</v>
      </c>
      <c r="B167" s="15" t="s">
        <v>27</v>
      </c>
      <c r="C167" s="15" t="s">
        <v>182</v>
      </c>
      <c r="D167" s="15" t="s">
        <v>28</v>
      </c>
      <c r="E167" s="25">
        <v>1</v>
      </c>
      <c r="F167" s="26"/>
    </row>
    <row r="168" spans="1:6">
      <c r="A168" s="15" t="s">
        <v>196</v>
      </c>
      <c r="B168" s="15" t="s">
        <v>19</v>
      </c>
      <c r="C168" s="15" t="s">
        <v>182</v>
      </c>
      <c r="D168" s="15" t="s">
        <v>28</v>
      </c>
      <c r="E168" s="25">
        <v>2</v>
      </c>
      <c r="F168" s="26"/>
    </row>
    <row r="169" spans="1:6">
      <c r="A169" s="14" t="s">
        <v>197</v>
      </c>
      <c r="B169" s="14" t="s">
        <v>27</v>
      </c>
      <c r="C169" s="14" t="s">
        <v>198</v>
      </c>
      <c r="D169" s="14" t="s">
        <v>28</v>
      </c>
      <c r="E169" s="25">
        <v>1</v>
      </c>
      <c r="F169" s="26"/>
    </row>
    <row r="170" spans="1:6">
      <c r="A170" s="14" t="s">
        <v>199</v>
      </c>
      <c r="B170" s="14" t="s">
        <v>27</v>
      </c>
      <c r="C170" s="14" t="s">
        <v>198</v>
      </c>
      <c r="D170" s="14" t="s">
        <v>17</v>
      </c>
      <c r="E170" s="25">
        <v>10</v>
      </c>
      <c r="F170" s="26"/>
    </row>
    <row r="171" spans="1:6">
      <c r="A171" s="14" t="s">
        <v>200</v>
      </c>
      <c r="B171" s="14" t="s">
        <v>7</v>
      </c>
      <c r="C171" s="14" t="s">
        <v>198</v>
      </c>
      <c r="D171" s="14"/>
      <c r="E171" s="25"/>
      <c r="F171" s="26"/>
    </row>
    <row r="172" spans="1:6">
      <c r="A172" s="14" t="s">
        <v>201</v>
      </c>
      <c r="B172" s="14" t="s">
        <v>7</v>
      </c>
      <c r="C172" s="14" t="s">
        <v>198</v>
      </c>
      <c r="D172" s="14" t="s">
        <v>24</v>
      </c>
      <c r="E172" s="25">
        <v>3.5</v>
      </c>
      <c r="F172" s="26"/>
    </row>
    <row r="173" spans="1:6">
      <c r="A173" s="14" t="s">
        <v>202</v>
      </c>
      <c r="B173" s="14" t="s">
        <v>7</v>
      </c>
      <c r="C173" s="14" t="s">
        <v>198</v>
      </c>
      <c r="D173" s="14" t="s">
        <v>13</v>
      </c>
      <c r="E173" s="25">
        <v>9</v>
      </c>
      <c r="F173" s="26"/>
    </row>
    <row r="174" spans="1:6">
      <c r="A174" s="14" t="s">
        <v>203</v>
      </c>
      <c r="B174" s="14" t="s">
        <v>19</v>
      </c>
      <c r="C174" s="14" t="s">
        <v>198</v>
      </c>
      <c r="D174" s="14" t="s">
        <v>28</v>
      </c>
      <c r="E174" s="25">
        <v>18.5</v>
      </c>
      <c r="F174" s="26"/>
    </row>
    <row r="175" spans="1:6">
      <c r="A175" s="14" t="s">
        <v>204</v>
      </c>
      <c r="B175" s="14" t="s">
        <v>7</v>
      </c>
      <c r="C175" s="14" t="s">
        <v>198</v>
      </c>
      <c r="D175" s="14"/>
      <c r="E175" s="25"/>
      <c r="F175" s="26"/>
    </row>
    <row r="176" spans="1:6">
      <c r="A176" s="14" t="s">
        <v>205</v>
      </c>
      <c r="B176" s="14" t="s">
        <v>27</v>
      </c>
      <c r="C176" s="14" t="s">
        <v>198</v>
      </c>
      <c r="D176" s="14"/>
      <c r="E176" s="25"/>
      <c r="F176" s="26"/>
    </row>
    <row r="177" spans="1:6">
      <c r="A177" s="14" t="s">
        <v>206</v>
      </c>
      <c r="B177" s="14" t="s">
        <v>27</v>
      </c>
      <c r="C177" s="14" t="s">
        <v>198</v>
      </c>
      <c r="D177" s="14" t="s">
        <v>11</v>
      </c>
      <c r="E177" s="25">
        <v>3</v>
      </c>
      <c r="F177" s="26"/>
    </row>
    <row r="178" spans="1:6">
      <c r="A178" s="14" t="s">
        <v>207</v>
      </c>
      <c r="B178" s="14" t="s">
        <v>7</v>
      </c>
      <c r="C178" s="14" t="s">
        <v>198</v>
      </c>
      <c r="D178" s="14"/>
      <c r="E178" s="25"/>
      <c r="F178" s="26"/>
    </row>
    <row r="179" spans="1:6">
      <c r="A179" s="14" t="s">
        <v>208</v>
      </c>
      <c r="B179" s="14" t="s">
        <v>7</v>
      </c>
      <c r="C179" s="14" t="s">
        <v>198</v>
      </c>
      <c r="D179" s="14"/>
      <c r="E179" s="25"/>
      <c r="F179" s="26"/>
    </row>
    <row r="180" spans="1:6">
      <c r="A180" s="14" t="s">
        <v>209</v>
      </c>
      <c r="B180" s="14" t="s">
        <v>7</v>
      </c>
      <c r="C180" s="14" t="s">
        <v>198</v>
      </c>
      <c r="D180" s="14"/>
      <c r="E180" s="25"/>
      <c r="F180" s="26"/>
    </row>
    <row r="181" spans="1:6">
      <c r="A181" s="14" t="s">
        <v>210</v>
      </c>
      <c r="B181" s="14" t="s">
        <v>15</v>
      </c>
      <c r="C181" s="14" t="s">
        <v>198</v>
      </c>
      <c r="D181" s="14" t="s">
        <v>9</v>
      </c>
      <c r="E181" s="25">
        <v>2</v>
      </c>
      <c r="F181" s="26"/>
    </row>
    <row r="182" spans="1:6">
      <c r="A182" s="14" t="s">
        <v>211</v>
      </c>
      <c r="B182" s="14" t="s">
        <v>7</v>
      </c>
      <c r="C182" s="14" t="s">
        <v>198</v>
      </c>
      <c r="D182" s="14" t="s">
        <v>11</v>
      </c>
      <c r="E182" s="25">
        <v>6</v>
      </c>
      <c r="F182" s="26"/>
    </row>
    <row r="183" spans="1:6">
      <c r="A183" s="14" t="s">
        <v>212</v>
      </c>
      <c r="B183" s="14" t="s">
        <v>7</v>
      </c>
      <c r="C183" s="14" t="s">
        <v>198</v>
      </c>
      <c r="D183" s="14" t="s">
        <v>28</v>
      </c>
      <c r="E183" s="25">
        <v>1</v>
      </c>
      <c r="F183" s="26"/>
    </row>
    <row r="184" spans="1:6"/>
    <row r="185" spans="1:6"/>
    <row r="186" spans="1:6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BFD5A2-A141-7D4E-9726-91D02B933771}">
          <x14:formula1>
            <xm:f>DWLTeams!$B$2:$B$8</xm:f>
          </x14:formula1>
          <xm:sqref>D2:D183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C2BC9-9BEE-8147-9540-8AC7A6007D3E}">
  <dimension ref="A1:B13"/>
  <sheetViews>
    <sheetView zoomScale="218" workbookViewId="0">
      <selection activeCell="E20" sqref="E20"/>
    </sheetView>
  </sheetViews>
  <sheetFormatPr defaultColWidth="11" defaultRowHeight="15.95"/>
  <cols>
    <col min="2" max="2" width="15.625" bestFit="1" customWidth="1"/>
  </cols>
  <sheetData>
    <row r="1" spans="1:2">
      <c r="A1" t="s">
        <v>213</v>
      </c>
      <c r="B1" t="s">
        <v>214</v>
      </c>
    </row>
    <row r="2" spans="1:2" ht="15.75">
      <c r="A2" t="s">
        <v>215</v>
      </c>
      <c r="B2" s="2" t="s">
        <v>13</v>
      </c>
    </row>
    <row r="3" spans="1:2" ht="15.75">
      <c r="A3" t="s">
        <v>216</v>
      </c>
      <c r="B3" s="1" t="s">
        <v>28</v>
      </c>
    </row>
    <row r="4" spans="1:2" ht="15.75">
      <c r="A4" t="s">
        <v>217</v>
      </c>
      <c r="B4" s="2" t="s">
        <v>24</v>
      </c>
    </row>
    <row r="5" spans="1:2" ht="15.75">
      <c r="A5" t="s">
        <v>218</v>
      </c>
      <c r="B5" s="1" t="s">
        <v>20</v>
      </c>
    </row>
    <row r="6" spans="1:2" ht="15.75">
      <c r="A6" t="s">
        <v>219</v>
      </c>
      <c r="B6" s="1" t="s">
        <v>11</v>
      </c>
    </row>
    <row r="7" spans="1:2" ht="15.75">
      <c r="A7" t="s">
        <v>220</v>
      </c>
      <c r="B7" s="1" t="s">
        <v>9</v>
      </c>
    </row>
    <row r="8" spans="1:2" ht="15.75">
      <c r="A8" t="s">
        <v>221</v>
      </c>
      <c r="B8" s="2" t="s">
        <v>17</v>
      </c>
    </row>
    <row r="9" spans="1:2" ht="15.75">
      <c r="B9" s="1"/>
    </row>
    <row r="10" spans="1:2" ht="15.75">
      <c r="B10" s="1"/>
    </row>
    <row r="11" spans="1:2" ht="15.75"/>
    <row r="12" spans="1:2" ht="15.75"/>
    <row r="13" spans="1:2" ht="15.7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35E5-687B-7F42-80A5-82F5DDEFA085}">
  <sheetPr>
    <tabColor rgb="FF008080"/>
  </sheetPr>
  <dimension ref="A1:E23"/>
  <sheetViews>
    <sheetView tabSelected="1" zoomScale="160" zoomScaleNormal="160" workbookViewId="0">
      <selection activeCell="A12" sqref="A12:A23"/>
    </sheetView>
  </sheetViews>
  <sheetFormatPr defaultColWidth="11" defaultRowHeight="15.95"/>
  <cols>
    <col min="1" max="1" width="19.375" bestFit="1" customWidth="1"/>
    <col min="2" max="2" width="18.625" bestFit="1" customWidth="1"/>
    <col min="3" max="3" width="12.625" bestFit="1" customWidth="1"/>
    <col min="4" max="4" width="24.625" bestFit="1" customWidth="1"/>
  </cols>
  <sheetData>
    <row r="1" spans="1:5" ht="15.75" customHeight="1">
      <c r="A1" s="29" t="s">
        <v>222</v>
      </c>
      <c r="B1" s="29"/>
      <c r="C1" s="29"/>
      <c r="D1" s="29"/>
      <c r="E1" s="29"/>
    </row>
    <row r="2" spans="1:5" ht="15.75" customHeight="1">
      <c r="A2" s="29"/>
      <c r="B2" s="29"/>
      <c r="C2" s="29"/>
      <c r="D2" s="29"/>
      <c r="E2" s="29"/>
    </row>
    <row r="3" spans="1:5" ht="15.75" customHeight="1">
      <c r="A3" s="29"/>
      <c r="B3" s="29"/>
      <c r="C3" s="29"/>
      <c r="D3" s="29"/>
      <c r="E3" s="29"/>
    </row>
    <row r="4" spans="1:5" ht="15.75"/>
    <row r="5" spans="1:5" ht="15.75">
      <c r="A5" s="20" t="s">
        <v>223</v>
      </c>
      <c r="B5" s="21" t="s">
        <v>0</v>
      </c>
      <c r="C5" s="21" t="s">
        <v>2</v>
      </c>
      <c r="D5" s="22" t="s">
        <v>224</v>
      </c>
      <c r="E5" s="28" t="s">
        <v>5</v>
      </c>
    </row>
    <row r="6" spans="1:5" ht="15.75">
      <c r="A6" s="3">
        <v>1</v>
      </c>
      <c r="B6" s="3" t="s">
        <v>12</v>
      </c>
      <c r="C6" s="23" t="str">
        <f>IFERROR(VLOOKUP(GD[[#This Row],[Player Name]],Players!A:D,3,0),"")</f>
        <v>Australia</v>
      </c>
      <c r="D6" s="3" t="s">
        <v>225</v>
      </c>
      <c r="E6" s="23">
        <f>IFERROR(VLOOKUP(GD[[#This Row],[Player Name]],Players!A:F,6,FALSE),"")</f>
        <v>0</v>
      </c>
    </row>
    <row r="7" spans="1:5" ht="15.75">
      <c r="A7" s="3">
        <v>2</v>
      </c>
      <c r="B7" s="3" t="s">
        <v>52</v>
      </c>
      <c r="C7" s="3" t="str">
        <f>IFERROR(VLOOKUP(GD[[#This Row],[Player Name]],Players!A:D,3,0),"")</f>
        <v>England</v>
      </c>
      <c r="D7" s="3"/>
      <c r="E7" s="23">
        <f>IFERROR(VLOOKUP(GD[[#This Row],[Player Name]],Players!A:F,6,FALSE),"")</f>
        <v>0</v>
      </c>
    </row>
    <row r="8" spans="1:5" ht="15.75">
      <c r="A8" s="3">
        <v>3</v>
      </c>
      <c r="B8" s="3" t="s">
        <v>168</v>
      </c>
      <c r="C8" s="3" t="str">
        <f>IFERROR(VLOOKUP(GD[[#This Row],[Player Name]],Players!A:D,3,0),"")</f>
        <v>South Africa</v>
      </c>
      <c r="D8" s="3"/>
      <c r="E8" s="23">
        <f>IFERROR(VLOOKUP(GD[[#This Row],[Player Name]],Players!A:F,6,FALSE),"")</f>
        <v>0</v>
      </c>
    </row>
    <row r="9" spans="1:5" ht="15.75">
      <c r="A9" s="3">
        <v>4</v>
      </c>
      <c r="B9" s="3" t="s">
        <v>202</v>
      </c>
      <c r="C9" s="3" t="str">
        <f>IFERROR(VLOOKUP(GD[[#This Row],[Player Name]],Players!A:D,3,0),"")</f>
        <v>West Indies</v>
      </c>
      <c r="D9" s="3"/>
      <c r="E9" s="23">
        <f>IFERROR(VLOOKUP(GD[[#This Row],[Player Name]],Players!A:F,6,FALSE),"")</f>
        <v>0</v>
      </c>
    </row>
    <row r="10" spans="1:5" ht="15.75">
      <c r="A10" s="3">
        <v>5</v>
      </c>
      <c r="B10" s="3" t="s">
        <v>137</v>
      </c>
      <c r="C10" s="3" t="str">
        <f>IFERROR(VLOOKUP(GD[[#This Row],[Player Name]],Players!A:D,3,0),"")</f>
        <v>Pakistan</v>
      </c>
      <c r="D10" s="3"/>
      <c r="E10" s="23">
        <f>IFERROR(VLOOKUP(GD[[#This Row],[Player Name]],Players!A:F,6,FALSE),"")</f>
        <v>0</v>
      </c>
    </row>
    <row r="11" spans="1:5" ht="15.75">
      <c r="A11" s="3">
        <v>6</v>
      </c>
      <c r="B11" s="3" t="s">
        <v>170</v>
      </c>
      <c r="C11" s="23" t="str">
        <f>IFERROR(VLOOKUP(GD[[#This Row],[Player Name]],Players!A:D,3,0),"")</f>
        <v>South Africa</v>
      </c>
      <c r="D11" s="3"/>
      <c r="E11" s="23">
        <f>IFERROR(VLOOKUP(GD[[#This Row],[Player Name]],Players!A:F,6,FALSE),"")</f>
        <v>0</v>
      </c>
    </row>
    <row r="12" spans="1:5" ht="15.75">
      <c r="A12" s="3">
        <v>7</v>
      </c>
      <c r="B12" s="3" t="s">
        <v>126</v>
      </c>
      <c r="C12" s="3" t="str">
        <f>IFERROR(VLOOKUP(GD[[#This Row],[Player Name]],Players!A:D,3,0),"")</f>
        <v>New Zealand</v>
      </c>
      <c r="D12" s="3" t="s">
        <v>226</v>
      </c>
      <c r="E12" s="23">
        <f>IFERROR(VLOOKUP(GD[[#This Row],[Player Name]],Players!A:F,6,FALSE),"")</f>
        <v>0</v>
      </c>
    </row>
    <row r="13" spans="1:5" ht="15.75">
      <c r="A13" s="3">
        <v>8</v>
      </c>
      <c r="B13" s="3" t="s">
        <v>39</v>
      </c>
      <c r="C13" s="3" t="str">
        <f>IFERROR(VLOOKUP(GD[[#This Row],[Player Name]],Players!A:D,3,0),"")</f>
        <v>Bangladesh</v>
      </c>
      <c r="D13" s="3"/>
      <c r="E13" s="23">
        <f>IFERROR(VLOOKUP(GD[[#This Row],[Player Name]],Players!A:F,6,FALSE),"")</f>
        <v>0</v>
      </c>
    </row>
    <row r="14" spans="1:5" ht="15.75">
      <c r="A14" s="3">
        <v>9</v>
      </c>
      <c r="B14" s="3" t="s">
        <v>72</v>
      </c>
      <c r="C14" s="3" t="str">
        <f>IFERROR(VLOOKUP(GD[[#This Row],[Player Name]],Players!A:D,3,0),"")</f>
        <v>India</v>
      </c>
      <c r="D14" s="3"/>
      <c r="E14" s="23">
        <f>IFERROR(VLOOKUP(GD[[#This Row],[Player Name]],Players!A:F,6,FALSE),"")</f>
        <v>0</v>
      </c>
    </row>
    <row r="15" spans="1:5" ht="15.75">
      <c r="A15" s="3">
        <v>10</v>
      </c>
      <c r="B15" s="3" t="s">
        <v>40</v>
      </c>
      <c r="C15" s="3" t="str">
        <f>IFERROR(VLOOKUP(GD[[#This Row],[Player Name]],Players!A:D,3,0),"")</f>
        <v>Bangladesh</v>
      </c>
      <c r="D15" s="3"/>
      <c r="E15" s="23">
        <f>IFERROR(VLOOKUP(GD[[#This Row],[Player Name]],Players!A:F,6,FALSE),"")</f>
        <v>0</v>
      </c>
    </row>
    <row r="16" spans="1:5" ht="15.75">
      <c r="A16" s="3">
        <v>11</v>
      </c>
      <c r="B16" s="3" t="s">
        <v>161</v>
      </c>
      <c r="C16" s="3" t="str">
        <f>IFERROR(VLOOKUP(GD[[#This Row],[Player Name]],Players!A:D,3,0),"")</f>
        <v>Scotland</v>
      </c>
      <c r="D16" s="3"/>
      <c r="E16" s="23">
        <f>IFERROR(VLOOKUP(GD[[#This Row],[Player Name]],Players!A:F,6,FALSE),"")</f>
        <v>0</v>
      </c>
    </row>
    <row r="17" spans="1:5" ht="15.75">
      <c r="A17" s="3">
        <v>12</v>
      </c>
      <c r="B17" s="3" t="s">
        <v>73</v>
      </c>
      <c r="C17" s="23" t="str">
        <f>IFERROR(VLOOKUP(GD[[#This Row],[Player Name]],Players!A:D,3,0),"")</f>
        <v>India</v>
      </c>
      <c r="D17" s="3"/>
      <c r="E17" s="23" t="str">
        <f>IFERROR(VLOOKUP(GD[[#This Row],[Player Name]],Players!A:F,6,FALSE),"")</f>
        <v>Replacement</v>
      </c>
    </row>
    <row r="18" spans="1:5" ht="15.75">
      <c r="A18" s="3">
        <v>13</v>
      </c>
      <c r="B18" s="3" t="s">
        <v>164</v>
      </c>
      <c r="C18" s="3" t="str">
        <f>IFERROR(VLOOKUP(GD[[#This Row],[Player Name]],Players!A:D,3,0),"")</f>
        <v>Scotland</v>
      </c>
      <c r="D18" s="3"/>
      <c r="E18" s="23">
        <f>IFERROR(VLOOKUP(GD[[#This Row],[Player Name]],Players!A:F,6,FALSE),"")</f>
        <v>0</v>
      </c>
    </row>
    <row r="19" spans="1:5" ht="15.75">
      <c r="A19" s="3">
        <v>14</v>
      </c>
      <c r="B19" s="3" t="s">
        <v>79</v>
      </c>
      <c r="C19" s="3" t="str">
        <f>IFERROR(VLOOKUP(GD[[#This Row],[Player Name]],Players!A:D,3,0),"")</f>
        <v>India</v>
      </c>
      <c r="D19" s="3"/>
      <c r="E19" s="23">
        <f>IFERROR(VLOOKUP(GD[[#This Row],[Player Name]],Players!A:F,6,FALSE),"")</f>
        <v>0</v>
      </c>
    </row>
    <row r="20" spans="1:5" ht="15.75">
      <c r="A20" s="3">
        <v>15</v>
      </c>
      <c r="B20" s="3" t="s">
        <v>80</v>
      </c>
      <c r="C20" s="3" t="str">
        <f>IFERROR(VLOOKUP(GD[[#This Row],[Player Name]],Players!A:D,3,0),"")</f>
        <v>India</v>
      </c>
      <c r="D20" s="3"/>
      <c r="E20" s="23" t="str">
        <f>IFERROR(VLOOKUP(GD[[#This Row],[Player Name]],Players!A:F,6,FALSE),"")</f>
        <v>Injured</v>
      </c>
    </row>
    <row r="21" spans="1:5" ht="15.75">
      <c r="A21" s="3">
        <v>16</v>
      </c>
      <c r="B21" s="3" t="s">
        <v>62</v>
      </c>
      <c r="C21" s="3" t="str">
        <f>IFERROR(VLOOKUP(GD[[#This Row],[Player Name]],Players!A:D,3,0),"")</f>
        <v>England</v>
      </c>
      <c r="D21" s="3"/>
      <c r="E21" s="23">
        <f>IFERROR(VLOOKUP(GD[[#This Row],[Player Name]],Players!A:F,6,FALSE),"")</f>
        <v>0</v>
      </c>
    </row>
    <row r="22" spans="1:5" ht="15.75">
      <c r="A22" s="3">
        <v>17</v>
      </c>
      <c r="B22" s="3" t="s">
        <v>115</v>
      </c>
      <c r="C22" s="3" t="str">
        <f>IFERROR(VLOOKUP(GD[[#This Row],[Player Name]],Players!A:D,3,0),"")</f>
        <v>Netherlands</v>
      </c>
      <c r="D22" s="3"/>
      <c r="E22" s="23">
        <f>IFERROR(VLOOKUP(GD[[#This Row],[Player Name]],Players!A:F,6,FALSE),"")</f>
        <v>0</v>
      </c>
    </row>
    <row r="23" spans="1:5" ht="15.75">
      <c r="A23" s="3">
        <v>18</v>
      </c>
      <c r="B23" s="3" t="s">
        <v>64</v>
      </c>
      <c r="C23" s="3" t="str">
        <f>IFERROR(VLOOKUP(GD[[#This Row],[Player Name]],Players!A:D,3,0),"")</f>
        <v>England</v>
      </c>
      <c r="D23" s="3"/>
      <c r="E23" s="23">
        <f>IFERROR(VLOOKUP(GD[[#This Row],[Player Name]],Players!A:F,6,FALSE),"")</f>
        <v>0</v>
      </c>
    </row>
  </sheetData>
  <mergeCells count="1">
    <mergeCell ref="A1:E3"/>
  </mergeCells>
  <dataValidations count="1">
    <dataValidation type="list" allowBlank="1" showInputMessage="1" showErrorMessage="1" sqref="D6:D23" xr:uid="{F8FBDCC3-3111-DC4E-AF01-A0FD07E86895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030090-5C0F-BA4C-AA19-0E80536C4120}">
          <x14:formula1>
            <xm:f>Players!$A$2:$A$183</xm:f>
          </x14:formula1>
          <xm:sqref>B6:B23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2B3A-B487-394F-BDF2-46BC59A5DA4A}">
  <sheetPr>
    <tabColor rgb="FF301934"/>
  </sheetPr>
  <dimension ref="A1:E23"/>
  <sheetViews>
    <sheetView zoomScale="160" zoomScaleNormal="160" workbookViewId="0">
      <selection activeCell="E6" sqref="E6"/>
    </sheetView>
  </sheetViews>
  <sheetFormatPr defaultColWidth="11" defaultRowHeight="15.95"/>
  <cols>
    <col min="1" max="1" width="19.375" bestFit="1" customWidth="1"/>
    <col min="2" max="2" width="15.125" bestFit="1" customWidth="1"/>
    <col min="3" max="3" width="11.125" bestFit="1" customWidth="1"/>
    <col min="4" max="4" width="24.625" bestFit="1" customWidth="1"/>
  </cols>
  <sheetData>
    <row r="1" spans="1:5" ht="15.75" customHeight="1">
      <c r="A1" s="30" t="s">
        <v>227</v>
      </c>
      <c r="B1" s="30"/>
      <c r="C1" s="30"/>
      <c r="D1" s="30"/>
      <c r="E1" s="30"/>
    </row>
    <row r="2" spans="1:5" ht="15.75" customHeight="1">
      <c r="A2" s="30"/>
      <c r="B2" s="30"/>
      <c r="C2" s="30"/>
      <c r="D2" s="30"/>
      <c r="E2" s="30"/>
    </row>
    <row r="3" spans="1:5" ht="15.75" customHeight="1">
      <c r="A3" s="30"/>
      <c r="B3" s="30"/>
      <c r="C3" s="30"/>
      <c r="D3" s="30"/>
      <c r="E3" s="30"/>
    </row>
    <row r="4" spans="1:5" ht="15.75"/>
    <row r="5" spans="1:5" ht="15.75">
      <c r="A5" s="19" t="s">
        <v>223</v>
      </c>
      <c r="B5" s="19" t="s">
        <v>0</v>
      </c>
      <c r="C5" s="19" t="s">
        <v>2</v>
      </c>
      <c r="D5" s="19" t="s">
        <v>224</v>
      </c>
      <c r="E5" s="19" t="s">
        <v>5</v>
      </c>
    </row>
    <row r="6" spans="1:5" ht="15.75">
      <c r="A6" s="3">
        <v>1</v>
      </c>
      <c r="B6" s="3" t="s">
        <v>197</v>
      </c>
      <c r="C6" s="3" t="str">
        <f>IFERROR(VLOOKUP(JR[[#This Row],[Player Name]],Players!A:D,3,0),"")</f>
        <v>West Indies</v>
      </c>
      <c r="D6" s="3"/>
      <c r="E6" s="3">
        <f>IFERROR(VLOOKUP(JR[[#This Row],[Player Name]],Players!A:F,6,FALSE),"")</f>
        <v>0</v>
      </c>
    </row>
    <row r="7" spans="1:5" ht="15.75">
      <c r="A7" s="3">
        <v>2</v>
      </c>
      <c r="B7" s="3" t="s">
        <v>203</v>
      </c>
      <c r="C7" s="3" t="str">
        <f>IFERROR(VLOOKUP(JR[[#This Row],[Player Name]],Players!A:D,3,0),"")</f>
        <v>West Indies</v>
      </c>
      <c r="D7" s="3" t="s">
        <v>225</v>
      </c>
      <c r="E7" s="3">
        <f>IFERROR(VLOOKUP(JR[[#This Row],[Player Name]],Players!A:F,6,FALSE),"")</f>
        <v>0</v>
      </c>
    </row>
    <row r="8" spans="1:5" ht="15.75">
      <c r="A8" s="3">
        <v>3</v>
      </c>
      <c r="B8" s="3" t="s">
        <v>57</v>
      </c>
      <c r="C8" s="3" t="str">
        <f>IFERROR(VLOOKUP(JR[[#This Row],[Player Name]],Players!A:D,3,0),"")</f>
        <v>England</v>
      </c>
      <c r="D8" s="3"/>
      <c r="E8" s="3">
        <f>IFERROR(VLOOKUP(JR[[#This Row],[Player Name]],Players!A:F,6,FALSE),"")</f>
        <v>0</v>
      </c>
    </row>
    <row r="9" spans="1:5" ht="15.75">
      <c r="A9" s="3">
        <v>4</v>
      </c>
      <c r="B9" s="3" t="s">
        <v>122</v>
      </c>
      <c r="C9" s="3" t="str">
        <f>IFERROR(VLOOKUP(JR[[#This Row],[Player Name]],Players!A:D,3,0),"")</f>
        <v>New Zealand</v>
      </c>
      <c r="D9" s="3"/>
      <c r="E9" s="3">
        <f>IFERROR(VLOOKUP(JR[[#This Row],[Player Name]],Players!A:F,6,FALSE),"")</f>
        <v>0</v>
      </c>
    </row>
    <row r="10" spans="1:5" ht="15.75">
      <c r="A10" s="3">
        <v>5</v>
      </c>
      <c r="B10" s="3" t="s">
        <v>156</v>
      </c>
      <c r="C10" s="3" t="str">
        <f>IFERROR(VLOOKUP(JR[[#This Row],[Player Name]],Players!A:D,3,0),"")</f>
        <v>Scotland</v>
      </c>
      <c r="D10" s="3"/>
      <c r="E10" s="3">
        <f>IFERROR(VLOOKUP(JR[[#This Row],[Player Name]],Players!A:F,6,FALSE),"")</f>
        <v>0</v>
      </c>
    </row>
    <row r="11" spans="1:5" ht="15.75">
      <c r="A11" s="3">
        <v>6</v>
      </c>
      <c r="B11" s="3" t="s">
        <v>59</v>
      </c>
      <c r="C11" s="3" t="str">
        <f>IFERROR(VLOOKUP(JR[[#This Row],[Player Name]],Players!A:D,3,0),"")</f>
        <v>England</v>
      </c>
      <c r="D11" s="3"/>
      <c r="E11" s="3">
        <f>IFERROR(VLOOKUP(JR[[#This Row],[Player Name]],Players!A:F,6,FALSE),"")</f>
        <v>0</v>
      </c>
    </row>
    <row r="12" spans="1:5" ht="15.75">
      <c r="A12" s="3">
        <v>7</v>
      </c>
      <c r="B12" s="3" t="s">
        <v>124</v>
      </c>
      <c r="C12" s="3" t="str">
        <f>IFERROR(VLOOKUP(JR[[#This Row],[Player Name]],Players!A:D,3,0),"")</f>
        <v>New Zealand</v>
      </c>
      <c r="D12" s="3"/>
      <c r="E12" s="3">
        <f>IFERROR(VLOOKUP(JR[[#This Row],[Player Name]],Players!A:F,6,FALSE),"")</f>
        <v>0</v>
      </c>
    </row>
    <row r="13" spans="1:5" ht="15.75">
      <c r="A13" s="3">
        <v>8</v>
      </c>
      <c r="B13" s="3" t="s">
        <v>26</v>
      </c>
      <c r="C13" s="3" t="str">
        <f>IFERROR(VLOOKUP(JR[[#This Row],[Player Name]],Players!A:D,3,0),"")</f>
        <v>Australia</v>
      </c>
      <c r="D13" s="3"/>
      <c r="E13" s="3">
        <f>IFERROR(VLOOKUP(JR[[#This Row],[Player Name]],Players!A:F,6,FALSE),"")</f>
        <v>0</v>
      </c>
    </row>
    <row r="14" spans="1:5" ht="15.75">
      <c r="A14" s="3">
        <v>9</v>
      </c>
      <c r="B14" s="3" t="s">
        <v>140</v>
      </c>
      <c r="C14" s="3" t="str">
        <f>IFERROR(VLOOKUP(JR[[#This Row],[Player Name]],Players!A:D,3,0),"")</f>
        <v>Pakistan</v>
      </c>
      <c r="D14" s="3"/>
      <c r="E14" s="3">
        <f>IFERROR(VLOOKUP(JR[[#This Row],[Player Name]],Players!A:F,6,FALSE),"")</f>
        <v>0</v>
      </c>
    </row>
    <row r="15" spans="1:5" ht="15.75">
      <c r="A15" s="3">
        <v>10</v>
      </c>
      <c r="B15" s="3" t="s">
        <v>61</v>
      </c>
      <c r="C15" s="23" t="str">
        <f>IFERROR(VLOOKUP(JR[[#This Row],[Player Name]],Players!A:D,3,0),"")</f>
        <v>England</v>
      </c>
      <c r="D15" s="3" t="s">
        <v>226</v>
      </c>
      <c r="E15" s="3">
        <f>IFERROR(VLOOKUP(JR[[#This Row],[Player Name]],Players!A:F,6,FALSE),"")</f>
        <v>0</v>
      </c>
    </row>
    <row r="16" spans="1:5" ht="15.75">
      <c r="A16" s="3">
        <v>11</v>
      </c>
      <c r="B16" s="3" t="s">
        <v>111</v>
      </c>
      <c r="C16" s="3" t="str">
        <f>IFERROR(VLOOKUP(JR[[#This Row],[Player Name]],Players!A:D,3,0),"")</f>
        <v>Netherlands</v>
      </c>
      <c r="D16" s="3"/>
      <c r="E16" s="3">
        <f>IFERROR(VLOOKUP(JR[[#This Row],[Player Name]],Players!A:F,6,FALSE),"")</f>
        <v>0</v>
      </c>
    </row>
    <row r="17" spans="1:5" ht="15.75">
      <c r="A17" s="3">
        <v>12</v>
      </c>
      <c r="B17" s="3" t="s">
        <v>195</v>
      </c>
      <c r="C17" s="3" t="str">
        <f>IFERROR(VLOOKUP(JR[[#This Row],[Player Name]],Players!A:D,3,0),"")</f>
        <v>Sri Lanka</v>
      </c>
      <c r="D17" s="3"/>
      <c r="E17" s="3">
        <f>IFERROR(VLOOKUP(JR[[#This Row],[Player Name]],Players!A:F,6,FALSE),"")</f>
        <v>0</v>
      </c>
    </row>
    <row r="18" spans="1:5" ht="15.75">
      <c r="A18" s="3">
        <v>13</v>
      </c>
      <c r="B18" s="3" t="s">
        <v>32</v>
      </c>
      <c r="C18" s="3" t="str">
        <f>IFERROR(VLOOKUP(JR[[#This Row],[Player Name]],Players!A:D,3,0),"")</f>
        <v>Australia</v>
      </c>
      <c r="D18" s="3"/>
      <c r="E18" s="3">
        <f>IFERROR(VLOOKUP(JR[[#This Row],[Player Name]],Players!A:F,6,FALSE),"")</f>
        <v>0</v>
      </c>
    </row>
    <row r="19" spans="1:5" ht="15.75">
      <c r="A19" s="3">
        <v>14</v>
      </c>
      <c r="B19" s="3" t="s">
        <v>179</v>
      </c>
      <c r="C19" s="3" t="str">
        <f>IFERROR(VLOOKUP(JR[[#This Row],[Player Name]],Players!A:D,3,0),"")</f>
        <v>South Africa</v>
      </c>
      <c r="D19" s="3"/>
      <c r="E19" s="3">
        <f>IFERROR(VLOOKUP(JR[[#This Row],[Player Name]],Players!A:F,6,FALSE),"")</f>
        <v>0</v>
      </c>
    </row>
    <row r="20" spans="1:5" ht="15.75">
      <c r="A20" s="3">
        <v>15</v>
      </c>
      <c r="B20" s="3" t="s">
        <v>196</v>
      </c>
      <c r="C20" s="23" t="str">
        <f>IFERROR(VLOOKUP(JR[[#This Row],[Player Name]],Players!A:D,3,0),"")</f>
        <v>Sri Lanka</v>
      </c>
      <c r="D20" s="3"/>
      <c r="E20" s="3">
        <f>IFERROR(VLOOKUP(JR[[#This Row],[Player Name]],Players!A:F,6,FALSE),"")</f>
        <v>0</v>
      </c>
    </row>
    <row r="21" spans="1:5" ht="15.75">
      <c r="A21" s="3">
        <v>16</v>
      </c>
      <c r="B21" s="3" t="s">
        <v>212</v>
      </c>
      <c r="C21" s="23" t="str">
        <f>IFERROR(VLOOKUP(JR[[#This Row],[Player Name]],Players!A:D,3,0),"")</f>
        <v>West Indies</v>
      </c>
      <c r="D21" s="3"/>
      <c r="E21" s="3">
        <f>IFERROR(VLOOKUP(JR[[#This Row],[Player Name]],Players!A:F,6,FALSE),"")</f>
        <v>0</v>
      </c>
    </row>
    <row r="22" spans="1:5" ht="15.75">
      <c r="A22" s="3">
        <v>17</v>
      </c>
      <c r="B22" s="3"/>
      <c r="C22" s="3" t="str">
        <f>IFERROR(VLOOKUP(JR[[#This Row],[Player Name]],Players!A:D,3,0),"")</f>
        <v/>
      </c>
      <c r="D22" s="3"/>
      <c r="E22" s="3" t="str">
        <f>IFERROR(VLOOKUP(JR[[#This Row],[Player Name]],Players!A:F,6,FALSE),"")</f>
        <v/>
      </c>
    </row>
    <row r="23" spans="1:5" ht="15.75">
      <c r="A23" s="3">
        <v>18</v>
      </c>
      <c r="B23" s="3"/>
      <c r="C23" s="3" t="str">
        <f>IFERROR(VLOOKUP(JR[[#This Row],[Player Name]],Players!A:D,3,0),"")</f>
        <v/>
      </c>
      <c r="D23" s="3"/>
      <c r="E23" s="3" t="str">
        <f>IFERROR(VLOOKUP(JR[[#This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537B20EA-C0AC-494B-BFDC-05B417DE60F6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0E3C63E-EA25-5849-AC4A-F1A294A10FF6}">
          <x14:formula1>
            <xm:f>Players!$A$2:$A$183</xm:f>
          </x14:formula1>
          <xm:sqref>B6:B23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65943-13E5-9242-9220-52600D83C211}">
  <sheetPr>
    <tabColor rgb="FF800000"/>
  </sheetPr>
  <dimension ref="A1:E23"/>
  <sheetViews>
    <sheetView zoomScale="160" zoomScaleNormal="160" workbookViewId="0">
      <selection activeCell="H15" sqref="H15"/>
    </sheetView>
  </sheetViews>
  <sheetFormatPr defaultColWidth="11" defaultRowHeight="15.95"/>
  <cols>
    <col min="1" max="1" width="19.375" bestFit="1" customWidth="1"/>
    <col min="2" max="2" width="15.5" bestFit="1" customWidth="1"/>
    <col min="3" max="3" width="11.125" bestFit="1" customWidth="1"/>
    <col min="4" max="4" width="24.625" bestFit="1" customWidth="1"/>
  </cols>
  <sheetData>
    <row r="1" spans="1:5" ht="15.75" customHeight="1">
      <c r="A1" s="31" t="s">
        <v>228</v>
      </c>
      <c r="B1" s="31"/>
      <c r="C1" s="31"/>
      <c r="D1" s="31"/>
      <c r="E1" s="31"/>
    </row>
    <row r="2" spans="1:5" ht="15.75" customHeight="1">
      <c r="A2" s="31"/>
      <c r="B2" s="31"/>
      <c r="C2" s="31"/>
      <c r="D2" s="31"/>
      <c r="E2" s="31"/>
    </row>
    <row r="3" spans="1:5" ht="15.75" customHeight="1">
      <c r="A3" s="31"/>
      <c r="B3" s="31"/>
      <c r="C3" s="31"/>
      <c r="D3" s="31"/>
      <c r="E3" s="31"/>
    </row>
    <row r="4" spans="1:5" ht="15.75"/>
    <row r="5" spans="1:5" ht="15.75">
      <c r="A5" s="16" t="s">
        <v>223</v>
      </c>
      <c r="B5" s="16" t="s">
        <v>0</v>
      </c>
      <c r="C5" s="16" t="s">
        <v>2</v>
      </c>
      <c r="D5" s="16" t="s">
        <v>224</v>
      </c>
      <c r="E5" s="16" t="s">
        <v>5</v>
      </c>
    </row>
    <row r="6" spans="1:5" ht="15.75">
      <c r="A6" s="3">
        <v>1</v>
      </c>
      <c r="B6" s="3" t="s">
        <v>201</v>
      </c>
      <c r="C6" s="23" t="str">
        <f>IFERROR(VLOOKUP(KQ[[#This Row],[Player Name]],Players!A:D,3,0),"")</f>
        <v>West Indies</v>
      </c>
      <c r="D6" s="3"/>
      <c r="E6" s="3">
        <f>IFERROR(VLOOKUP(KQ[[#This Row],[Player Name]],Players!A:F,6,FALSE),"")</f>
        <v>0</v>
      </c>
    </row>
    <row r="7" spans="1:5" ht="15.75">
      <c r="A7" s="3">
        <v>2</v>
      </c>
      <c r="B7" s="3" t="s">
        <v>169</v>
      </c>
      <c r="C7" s="23" t="str">
        <f>IFERROR(VLOOKUP(KQ[[#This Row],[Player Name]],Players!A:D,3,0),"")</f>
        <v>South Africa</v>
      </c>
      <c r="D7" s="3"/>
      <c r="E7" s="3">
        <f>IFERROR(VLOOKUP(KQ[[#This Row],[Player Name]],Players!A:F,6,FALSE),"")</f>
        <v>0</v>
      </c>
    </row>
    <row r="8" spans="1:5" ht="15.75">
      <c r="A8" s="3">
        <v>3</v>
      </c>
      <c r="B8" s="3" t="s">
        <v>68</v>
      </c>
      <c r="C8" s="3" t="str">
        <f>IFERROR(VLOOKUP(KQ[[#This Row],[Player Name]],Players!A:D,3,0),"")</f>
        <v>India</v>
      </c>
      <c r="D8" s="3" t="s">
        <v>225</v>
      </c>
      <c r="E8" s="3">
        <f>IFERROR(VLOOKUP(KQ[[#This Row],[Player Name]],Players!A:F,6,FALSE),"")</f>
        <v>0</v>
      </c>
    </row>
    <row r="9" spans="1:5" ht="15.75">
      <c r="A9" s="3">
        <v>4</v>
      </c>
      <c r="B9" s="3" t="s">
        <v>92</v>
      </c>
      <c r="C9" s="3" t="str">
        <f>IFERROR(VLOOKUP(KQ[[#This Row],[Player Name]],Players!A:D,3,0),"")</f>
        <v>Ireland</v>
      </c>
      <c r="D9" s="3"/>
      <c r="E9" s="3">
        <f>IFERROR(VLOOKUP(KQ[[#This Row],[Player Name]],Players!A:F,6,FALSE),"")</f>
        <v>0</v>
      </c>
    </row>
    <row r="10" spans="1:5" ht="15.75">
      <c r="A10" s="3">
        <v>5</v>
      </c>
      <c r="B10" s="3" t="s">
        <v>23</v>
      </c>
      <c r="C10" s="3" t="str">
        <f>IFERROR(VLOOKUP(KQ[[#This Row],[Player Name]],Players!A:D,3,0),"")</f>
        <v>Australia</v>
      </c>
      <c r="D10" s="3"/>
      <c r="E10" s="3">
        <f>IFERROR(VLOOKUP(KQ[[#This Row],[Player Name]],Players!A:F,6,FALSE),"")</f>
        <v>0</v>
      </c>
    </row>
    <row r="11" spans="1:5" ht="15.75">
      <c r="A11" s="3">
        <v>6</v>
      </c>
      <c r="B11" s="3" t="s">
        <v>58</v>
      </c>
      <c r="C11" s="3" t="str">
        <f>IFERROR(VLOOKUP(KQ[[#This Row],[Player Name]],Players!A:D,3,0),"")</f>
        <v>England</v>
      </c>
      <c r="D11" s="3"/>
      <c r="E11" s="3">
        <f>IFERROR(VLOOKUP(KQ[[#This Row],[Player Name]],Players!A:F,6,FALSE),"")</f>
        <v>0</v>
      </c>
    </row>
    <row r="12" spans="1:5" ht="15.75">
      <c r="A12" s="3">
        <v>7</v>
      </c>
      <c r="B12" s="3" t="s">
        <v>25</v>
      </c>
      <c r="C12" s="3" t="str">
        <f>IFERROR(VLOOKUP(KQ[[#This Row],[Player Name]],Players!A:D,3,0),"")</f>
        <v>Australia</v>
      </c>
      <c r="D12" s="3"/>
      <c r="E12" s="3">
        <f>IFERROR(VLOOKUP(KQ[[#This Row],[Player Name]],Players!A:F,6,FALSE),"")</f>
        <v>0</v>
      </c>
    </row>
    <row r="13" spans="1:5" ht="15.75">
      <c r="A13" s="3">
        <v>8</v>
      </c>
      <c r="B13" s="3" t="s">
        <v>30</v>
      </c>
      <c r="C13" s="3" t="str">
        <f>IFERROR(VLOOKUP(KQ[[#This Row],[Player Name]],Players!A:D,3,0),"")</f>
        <v>Australia</v>
      </c>
      <c r="D13" s="3"/>
      <c r="E13" s="3">
        <f>IFERROR(VLOOKUP(KQ[[#This Row],[Player Name]],Players!A:F,6,FALSE),"")</f>
        <v>0</v>
      </c>
    </row>
    <row r="14" spans="1:5" ht="15.75">
      <c r="A14" s="3">
        <v>9</v>
      </c>
      <c r="B14" s="3" t="s">
        <v>128</v>
      </c>
      <c r="C14" s="3" t="str">
        <f>IFERROR(VLOOKUP(KQ[[#This Row],[Player Name]],Players!A:D,3,0),"")</f>
        <v>New Zealand</v>
      </c>
      <c r="D14" s="3"/>
      <c r="E14" s="3">
        <f>IFERROR(VLOOKUP(KQ[[#This Row],[Player Name]],Players!A:F,6,FALSE),"")</f>
        <v>0</v>
      </c>
    </row>
    <row r="15" spans="1:5" ht="15.75">
      <c r="A15" s="3">
        <v>10</v>
      </c>
      <c r="B15" s="3" t="s">
        <v>177</v>
      </c>
      <c r="C15" s="3" t="str">
        <f>IFERROR(VLOOKUP(KQ[[#This Row],[Player Name]],Players!A:D,3,0),"")</f>
        <v>South Africa</v>
      </c>
      <c r="D15" s="3"/>
      <c r="E15" s="3">
        <f>IFERROR(VLOOKUP(KQ[[#This Row],[Player Name]],Players!A:F,6,FALSE),"")</f>
        <v>0</v>
      </c>
    </row>
    <row r="16" spans="1:5" ht="15.75">
      <c r="A16" s="3">
        <v>11</v>
      </c>
      <c r="B16" s="3" t="s">
        <v>82</v>
      </c>
      <c r="C16" s="3" t="str">
        <f>IFERROR(VLOOKUP(KQ[[#This Row],[Player Name]],Players!A:D,3,0),"")</f>
        <v>India</v>
      </c>
      <c r="D16" s="3"/>
      <c r="E16" s="3">
        <f>IFERROR(VLOOKUP(KQ[[#This Row],[Player Name]],Players!A:F,6,FALSE),"")</f>
        <v>0</v>
      </c>
    </row>
    <row r="17" spans="1:5" ht="15.75">
      <c r="A17" s="3">
        <v>12</v>
      </c>
      <c r="B17" s="3" t="s">
        <v>63</v>
      </c>
      <c r="C17" s="3" t="str">
        <f>IFERROR(VLOOKUP(KQ[[#This Row],[Player Name]],Players!A:D,3,0),"")</f>
        <v>England</v>
      </c>
      <c r="D17" s="3" t="s">
        <v>226</v>
      </c>
      <c r="E17" s="3">
        <f>IFERROR(VLOOKUP(KQ[[#This Row],[Player Name]],Players!A:F,6,FALSE),"")</f>
        <v>0</v>
      </c>
    </row>
    <row r="18" spans="1:5" ht="15.75">
      <c r="A18" s="3">
        <v>13</v>
      </c>
      <c r="B18" s="3" t="s">
        <v>31</v>
      </c>
      <c r="C18" s="23" t="str">
        <f>IFERROR(VLOOKUP(KQ[[#This Row],[Player Name]],Players!A:D,3,0),"")</f>
        <v>Australia</v>
      </c>
      <c r="D18" s="3"/>
      <c r="E18" s="3">
        <f>IFERROR(VLOOKUP(KQ[[#This Row],[Player Name]],Players!A:F,6,FALSE),"")</f>
        <v>0</v>
      </c>
    </row>
    <row r="19" spans="1:5" ht="15.75">
      <c r="A19" s="3">
        <v>14</v>
      </c>
      <c r="B19" s="3"/>
      <c r="C19" s="3" t="str">
        <f>IFERROR(VLOOKUP(KQ[[#This Row],[Player Name]],Players!A:D,3,0),"")</f>
        <v/>
      </c>
      <c r="D19" s="3"/>
      <c r="E19" s="3" t="str">
        <f>IFERROR(VLOOKUP(KQ[[#This Row],[Player Name]],Players!A:F,6,FALSE),"")</f>
        <v/>
      </c>
    </row>
    <row r="20" spans="1:5" ht="15.75">
      <c r="A20" s="3">
        <v>15</v>
      </c>
      <c r="B20" s="3"/>
      <c r="C20" s="3" t="str">
        <f>IFERROR(VLOOKUP(KQ[[#This Row],[Player Name]],Players!A:D,3,0),"")</f>
        <v/>
      </c>
      <c r="D20" s="3"/>
      <c r="E20" s="3" t="str">
        <f>IFERROR(VLOOKUP(KQ[[#This Row],[Player Name]],Players!A:F,6,FALSE),"")</f>
        <v/>
      </c>
    </row>
    <row r="21" spans="1:5" ht="15.75">
      <c r="A21" s="3">
        <v>16</v>
      </c>
      <c r="B21" s="3"/>
      <c r="C21" s="3" t="str">
        <f>IFERROR(VLOOKUP(KQ[[#This Row],[Player Name]],Players!A:D,3,0),"")</f>
        <v/>
      </c>
      <c r="D21" s="3"/>
      <c r="E21" s="3" t="str">
        <f>IFERROR(VLOOKUP(KQ[[#This Row],[Player Name]],Players!A:F,6,FALSE),"")</f>
        <v/>
      </c>
    </row>
    <row r="22" spans="1:5" ht="15.75">
      <c r="A22" s="3">
        <v>17</v>
      </c>
      <c r="B22" s="3"/>
      <c r="C22" s="3" t="str">
        <f>IFERROR(VLOOKUP(KQ[[#This Row],[Player Name]],Players!A:D,3,0),"")</f>
        <v/>
      </c>
      <c r="D22" s="3"/>
      <c r="E22" s="3" t="str">
        <f>IFERROR(VLOOKUP(KQ[[#This Row],[Player Name]],Players!A:F,6,FALSE),"")</f>
        <v/>
      </c>
    </row>
    <row r="23" spans="1:5" ht="15.75">
      <c r="A23" s="3">
        <v>18</v>
      </c>
      <c r="B23" s="3"/>
      <c r="C23" s="3" t="str">
        <f>IFERROR(VLOOKUP(KQ[[#This Row],[Player Name]],Players!A:D,3,0),"")</f>
        <v/>
      </c>
      <c r="D23" s="3"/>
      <c r="E23" s="3" t="str">
        <f>IFERROR(VLOOKUP(KQ[[#This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F2CD0A4C-1D79-984B-95EA-91B04E387101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20AB018-EF87-7145-BE50-60BE0E869C31}">
          <x14:formula1>
            <xm:f>Players!$A$2:$A$183</xm:f>
          </x14:formula1>
          <xm:sqref>B6:B23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28CB-1528-634C-8C93-958DA6744960}">
  <sheetPr>
    <tabColor rgb="FFE759AC"/>
  </sheetPr>
  <dimension ref="A1:E23"/>
  <sheetViews>
    <sheetView zoomScale="160" zoomScaleNormal="160" workbookViewId="0">
      <selection activeCell="E6" sqref="E6"/>
    </sheetView>
  </sheetViews>
  <sheetFormatPr defaultColWidth="11" defaultRowHeight="15.95"/>
  <cols>
    <col min="1" max="1" width="19.375" bestFit="1" customWidth="1"/>
    <col min="2" max="2" width="17.875" bestFit="1" customWidth="1"/>
    <col min="3" max="3" width="11.125" bestFit="1" customWidth="1"/>
    <col min="4" max="4" width="24.625" bestFit="1" customWidth="1"/>
  </cols>
  <sheetData>
    <row r="1" spans="1:5" ht="15.75" customHeight="1">
      <c r="A1" s="32" t="s">
        <v>229</v>
      </c>
      <c r="B1" s="32"/>
      <c r="C1" s="32"/>
      <c r="D1" s="32"/>
      <c r="E1" s="32"/>
    </row>
    <row r="2" spans="1:5" ht="15.75" customHeight="1">
      <c r="A2" s="32"/>
      <c r="B2" s="32"/>
      <c r="C2" s="32"/>
      <c r="D2" s="32"/>
      <c r="E2" s="32"/>
    </row>
    <row r="3" spans="1:5" ht="15.75" customHeight="1">
      <c r="A3" s="32"/>
      <c r="B3" s="32"/>
      <c r="C3" s="32"/>
      <c r="D3" s="32"/>
      <c r="E3" s="32"/>
    </row>
    <row r="4" spans="1:5" ht="15.75"/>
    <row r="5" spans="1:5" ht="15.75">
      <c r="A5" s="18" t="s">
        <v>223</v>
      </c>
      <c r="B5" s="18" t="s">
        <v>0</v>
      </c>
      <c r="C5" s="18" t="s">
        <v>2</v>
      </c>
      <c r="D5" s="18" t="s">
        <v>224</v>
      </c>
      <c r="E5" s="18" t="s">
        <v>5</v>
      </c>
    </row>
    <row r="6" spans="1:5" ht="15.75">
      <c r="A6" s="3">
        <v>1</v>
      </c>
      <c r="B6" s="3" t="s">
        <v>49</v>
      </c>
      <c r="C6" s="3" t="str">
        <f>IFERROR(VLOOKUP(RR[[#This Row],[Player Name]],Players!A:D,3,0),"")</f>
        <v>England</v>
      </c>
      <c r="D6" s="3"/>
      <c r="E6" s="3">
        <f>IFERROR(VLOOKUP(RR[[#This Row],[Player Name]],Players!A:F,6,FALSE),"")</f>
        <v>0</v>
      </c>
    </row>
    <row r="7" spans="1:5" ht="15.75">
      <c r="A7" s="3">
        <v>2</v>
      </c>
      <c r="B7" s="3" t="s">
        <v>65</v>
      </c>
      <c r="C7" s="3" t="str">
        <f>IFERROR(VLOOKUP(RR[[#This Row],[Player Name]],Players!A:D,3,0),"")</f>
        <v>India</v>
      </c>
      <c r="D7" s="3"/>
      <c r="E7" s="3">
        <f>IFERROR(VLOOKUP(RR[[#This Row],[Player Name]],Players!A:F,6,FALSE),"")</f>
        <v>0</v>
      </c>
    </row>
    <row r="8" spans="1:5" ht="15.75">
      <c r="A8" s="3">
        <v>3</v>
      </c>
      <c r="B8" s="3" t="s">
        <v>167</v>
      </c>
      <c r="C8" s="3" t="str">
        <f>IFERROR(VLOOKUP(RR[[#This Row],[Player Name]],Players!A:D,3,0),"")</f>
        <v>South Africa</v>
      </c>
      <c r="D8" s="3"/>
      <c r="E8" s="3">
        <f>IFERROR(VLOOKUP(RR[[#This Row],[Player Name]],Players!A:F,6,FALSE),"")</f>
        <v>0</v>
      </c>
    </row>
    <row r="9" spans="1:5" ht="15.75">
      <c r="A9" s="3">
        <v>4</v>
      </c>
      <c r="B9" s="3" t="s">
        <v>181</v>
      </c>
      <c r="C9" s="3" t="str">
        <f>IFERROR(VLOOKUP(RR[[#This Row],[Player Name]],Players!A:D,3,0),"")</f>
        <v>Sri Lanka</v>
      </c>
      <c r="D9" s="3" t="s">
        <v>226</v>
      </c>
      <c r="E9" s="3">
        <f>IFERROR(VLOOKUP(RR[[#This Row],[Player Name]],Players!A:F,6,FALSE),"")</f>
        <v>0</v>
      </c>
    </row>
    <row r="10" spans="1:5" ht="15.75">
      <c r="A10" s="3">
        <v>5</v>
      </c>
      <c r="B10" s="3" t="s">
        <v>18</v>
      </c>
      <c r="C10" s="3" t="str">
        <f>IFERROR(VLOOKUP(RR[[#This Row],[Player Name]],Players!A:D,3,0),"")</f>
        <v>Australia</v>
      </c>
      <c r="D10" s="3"/>
      <c r="E10" s="3">
        <f>IFERROR(VLOOKUP(RR[[#This Row],[Player Name]],Players!A:F,6,FALSE),"")</f>
        <v>0</v>
      </c>
    </row>
    <row r="11" spans="1:5" ht="15.75">
      <c r="A11" s="3">
        <v>6</v>
      </c>
      <c r="B11" s="3" t="s">
        <v>21</v>
      </c>
      <c r="C11" s="23" t="str">
        <f>IFERROR(VLOOKUP(RR[[#This Row],[Player Name]],Players!A:D,3,0),"")</f>
        <v>Australia</v>
      </c>
      <c r="D11" s="3"/>
      <c r="E11" s="3">
        <f>IFERROR(VLOOKUP(RR[[#This Row],[Player Name]],Players!A:F,6,FALSE),"")</f>
        <v>0</v>
      </c>
    </row>
    <row r="12" spans="1:5" ht="15.75">
      <c r="A12" s="3">
        <v>7</v>
      </c>
      <c r="B12" s="3" t="s">
        <v>70</v>
      </c>
      <c r="C12" s="23" t="str">
        <f>IFERROR(VLOOKUP(RR[[#This Row],[Player Name]],Players!A:D,3,0),"")</f>
        <v>India</v>
      </c>
      <c r="D12" s="3"/>
      <c r="E12" s="3">
        <f>IFERROR(VLOOKUP(RR[[#This Row],[Player Name]],Players!A:F,6,FALSE),"")</f>
        <v>0</v>
      </c>
    </row>
    <row r="13" spans="1:5" ht="15.75">
      <c r="A13" s="3">
        <v>8</v>
      </c>
      <c r="B13" s="3" t="s">
        <v>123</v>
      </c>
      <c r="C13" s="23" t="str">
        <f>IFERROR(VLOOKUP(RR[[#This Row],[Player Name]],Players!A:D,3,0),"")</f>
        <v>New Zealand</v>
      </c>
      <c r="D13" s="3"/>
      <c r="E13" s="3">
        <f>IFERROR(VLOOKUP(RR[[#This Row],[Player Name]],Players!A:F,6,FALSE),"")</f>
        <v>0</v>
      </c>
    </row>
    <row r="14" spans="1:5" ht="15.75">
      <c r="A14" s="3">
        <v>9</v>
      </c>
      <c r="B14" s="3" t="s">
        <v>71</v>
      </c>
      <c r="C14" s="3" t="str">
        <f>IFERROR(VLOOKUP(RR[[#This Row],[Player Name]],Players!A:D,3,0),"")</f>
        <v>India</v>
      </c>
      <c r="D14" s="3"/>
      <c r="E14" s="3">
        <f>IFERROR(VLOOKUP(RR[[#This Row],[Player Name]],Players!A:F,6,FALSE),"")</f>
        <v>0</v>
      </c>
    </row>
    <row r="15" spans="1:5" ht="15.75">
      <c r="A15" s="3">
        <v>10</v>
      </c>
      <c r="B15" s="3" t="s">
        <v>141</v>
      </c>
      <c r="C15" s="3" t="str">
        <f>IFERROR(VLOOKUP(RR[[#This Row],[Player Name]],Players!A:D,3,0),"")</f>
        <v>Pakistan</v>
      </c>
      <c r="D15" s="3"/>
      <c r="E15" s="3">
        <f>IFERROR(VLOOKUP(RR[[#This Row],[Player Name]],Players!A:F,6,FALSE),"")</f>
        <v>0</v>
      </c>
    </row>
    <row r="16" spans="1:5" ht="15.75">
      <c r="A16" s="3">
        <v>11</v>
      </c>
      <c r="B16" s="3" t="s">
        <v>176</v>
      </c>
      <c r="C16" s="3" t="str">
        <f>IFERROR(VLOOKUP(RR[[#This Row],[Player Name]],Players!A:D,3,0),"")</f>
        <v>South Africa</v>
      </c>
      <c r="D16" s="3"/>
      <c r="E16" s="3">
        <f>IFERROR(VLOOKUP(RR[[#This Row],[Player Name]],Players!A:F,6,FALSE),"")</f>
        <v>0</v>
      </c>
    </row>
    <row r="17" spans="1:5" ht="15.75">
      <c r="A17" s="3">
        <v>12</v>
      </c>
      <c r="B17" s="3" t="s">
        <v>130</v>
      </c>
      <c r="C17" s="3" t="str">
        <f>IFERROR(VLOOKUP(RR[[#This Row],[Player Name]],Players!A:D,3,0),"")</f>
        <v>New Zealand</v>
      </c>
      <c r="D17" s="3" t="s">
        <v>225</v>
      </c>
      <c r="E17" s="3">
        <f>IFERROR(VLOOKUP(RR[[#This Row],[Player Name]],Players!A:F,6,FALSE),"")</f>
        <v>0</v>
      </c>
    </row>
    <row r="18" spans="1:5" ht="15.75">
      <c r="A18" s="3">
        <v>13</v>
      </c>
      <c r="B18" s="3" t="s">
        <v>178</v>
      </c>
      <c r="C18" s="3" t="str">
        <f>IFERROR(VLOOKUP(RR[[#This Row],[Player Name]],Players!A:D,3,0),"")</f>
        <v>South Africa</v>
      </c>
      <c r="D18" s="3"/>
      <c r="E18" s="3">
        <f>IFERROR(VLOOKUP(RR[[#This Row],[Player Name]],Players!A:F,6,FALSE),"")</f>
        <v>0</v>
      </c>
    </row>
    <row r="19" spans="1:5" ht="15.75">
      <c r="A19" s="3">
        <v>14</v>
      </c>
      <c r="B19" s="3" t="s">
        <v>83</v>
      </c>
      <c r="C19" s="3" t="str">
        <f>IFERROR(VLOOKUP(RR[[#This Row],[Player Name]],Players!A:D,3,0),"")</f>
        <v>India</v>
      </c>
      <c r="D19" s="3"/>
      <c r="E19" s="3">
        <f>IFERROR(VLOOKUP(RR[[#This Row],[Player Name]],Players!A:F,6,FALSE),"")</f>
        <v>0</v>
      </c>
    </row>
    <row r="20" spans="1:5" ht="15.75">
      <c r="A20" s="3">
        <v>15</v>
      </c>
      <c r="B20" s="3"/>
      <c r="C20" s="3" t="str">
        <f>IFERROR(VLOOKUP(RR[[#This Row],[Player Name]],Players!A:D,3,0),"")</f>
        <v/>
      </c>
      <c r="D20" s="3"/>
      <c r="E20" s="3" t="str">
        <f>IFERROR(VLOOKUP(RR[[#This Row],[Player Name]],Players!A:F,6,FALSE),"")</f>
        <v/>
      </c>
    </row>
    <row r="21" spans="1:5" ht="15.75">
      <c r="A21" s="3">
        <v>16</v>
      </c>
      <c r="B21" s="3"/>
      <c r="C21" s="3" t="str">
        <f>IFERROR(VLOOKUP(RR[[#This Row],[Player Name]],Players!A:D,3,0),"")</f>
        <v/>
      </c>
      <c r="D21" s="3"/>
      <c r="E21" s="3" t="str">
        <f>IFERROR(VLOOKUP(RR[[#This Row],[Player Name]],Players!A:F,6,FALSE),"")</f>
        <v/>
      </c>
    </row>
    <row r="22" spans="1:5" ht="15.75">
      <c r="A22" s="3">
        <v>17</v>
      </c>
      <c r="B22" s="3"/>
      <c r="C22" s="3" t="str">
        <f>IFERROR(VLOOKUP(RR[[#This Row],[Player Name]],Players!A:D,3,0),"")</f>
        <v/>
      </c>
      <c r="D22" s="3"/>
      <c r="E22" s="3" t="str">
        <f>IFERROR(VLOOKUP(RR[[#This Row],[Player Name]],Players!A:F,6,FALSE),"")</f>
        <v/>
      </c>
    </row>
    <row r="23" spans="1:5" ht="15.75">
      <c r="A23" s="3">
        <v>18</v>
      </c>
      <c r="B23" s="3"/>
      <c r="C23" s="3" t="str">
        <f>IFERROR(VLOOKUP(RR[[#This Row],[Player Name]],Players!A:D,3,0),"")</f>
        <v/>
      </c>
      <c r="D23" s="3"/>
      <c r="E23" s="3" t="str">
        <f>IFERROR(VLOOKUP(RR[[#This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4DA19308-650D-4849-A026-734DD25B26E1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B2A4319-3327-BA40-AFC7-86FBCD333A45}">
          <x14:formula1>
            <xm:f>Players!$A$2:$A$183</xm:f>
          </x14:formula1>
          <xm:sqref>B6:B23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37018-E961-894E-9ED9-37ABF3951144}">
  <sheetPr>
    <tabColor rgb="FF0B0C10"/>
  </sheetPr>
  <dimension ref="A1:E23"/>
  <sheetViews>
    <sheetView zoomScale="160" zoomScaleNormal="160" workbookViewId="0">
      <selection activeCell="E6" sqref="E6"/>
    </sheetView>
  </sheetViews>
  <sheetFormatPr defaultColWidth="11" defaultRowHeight="15.95"/>
  <cols>
    <col min="1" max="1" width="19.375" bestFit="1" customWidth="1"/>
    <col min="2" max="2" width="17.75" bestFit="1" customWidth="1"/>
    <col min="3" max="3" width="11.125" bestFit="1" customWidth="1"/>
    <col min="4" max="4" width="24.625" bestFit="1" customWidth="1"/>
  </cols>
  <sheetData>
    <row r="1" spans="1:5" ht="15.75" customHeight="1">
      <c r="A1" s="33" t="s">
        <v>230</v>
      </c>
      <c r="B1" s="33"/>
      <c r="C1" s="33"/>
      <c r="D1" s="33"/>
      <c r="E1" s="33"/>
    </row>
    <row r="2" spans="1:5" ht="15.75" customHeight="1">
      <c r="A2" s="33"/>
      <c r="B2" s="33"/>
      <c r="C2" s="33"/>
      <c r="D2" s="33"/>
      <c r="E2" s="33"/>
    </row>
    <row r="3" spans="1:5" ht="15.75" customHeight="1">
      <c r="A3" s="33"/>
      <c r="B3" s="33"/>
      <c r="C3" s="33"/>
      <c r="D3" s="33"/>
      <c r="E3" s="33"/>
    </row>
    <row r="4" spans="1:5" ht="15.75"/>
    <row r="5" spans="1:5" ht="15.75">
      <c r="A5" s="17" t="s">
        <v>223</v>
      </c>
      <c r="B5" s="17" t="s">
        <v>0</v>
      </c>
      <c r="C5" s="17" t="s">
        <v>2</v>
      </c>
      <c r="D5" s="17" t="s">
        <v>224</v>
      </c>
      <c r="E5" s="17" t="s">
        <v>5</v>
      </c>
    </row>
    <row r="6" spans="1:5" ht="15.75">
      <c r="A6" s="3">
        <v>1</v>
      </c>
      <c r="B6" s="3" t="s">
        <v>51</v>
      </c>
      <c r="C6" s="3" t="str">
        <f>IFERROR(VLOOKUP(SS[[#This Row],[Player Name]],Players!A:D,3,0),"")</f>
        <v>England</v>
      </c>
      <c r="D6" s="3"/>
      <c r="E6" s="3">
        <f>IFERROR(VLOOKUP(SS[[#This Row],[Player Name]],Players!A:F,6,FALSE),"")</f>
        <v>0</v>
      </c>
    </row>
    <row r="7" spans="1:5" ht="15.75">
      <c r="A7" s="3">
        <v>2</v>
      </c>
      <c r="B7" s="3" t="s">
        <v>10</v>
      </c>
      <c r="C7" s="3" t="str">
        <f>IFERROR(VLOOKUP(SS[[#This Row],[Player Name]],Players!A:D,3,0),"")</f>
        <v>Australia</v>
      </c>
      <c r="D7" s="3"/>
      <c r="E7" s="3">
        <f>IFERROR(VLOOKUP(SS[[#This Row],[Player Name]],Players!A:F,6,FALSE),"")</f>
        <v>0</v>
      </c>
    </row>
    <row r="8" spans="1:5" ht="15.75">
      <c r="A8" s="3">
        <v>3</v>
      </c>
      <c r="B8" s="3" t="s">
        <v>14</v>
      </c>
      <c r="C8" s="3" t="str">
        <f>IFERROR(VLOOKUP(SS[[#This Row],[Player Name]],Players!A:D,3,0),"")</f>
        <v>Australia</v>
      </c>
      <c r="D8" s="3"/>
      <c r="E8" s="3">
        <f>IFERROR(VLOOKUP(SS[[#This Row],[Player Name]],Players!A:F,6,FALSE),"")</f>
        <v>0</v>
      </c>
    </row>
    <row r="9" spans="1:5" ht="15.75">
      <c r="A9" s="3">
        <v>4</v>
      </c>
      <c r="B9" s="3" t="s">
        <v>116</v>
      </c>
      <c r="C9" s="3" t="str">
        <f>IFERROR(VLOOKUP(SS[[#This Row],[Player Name]],Players!A:D,3,0),"")</f>
        <v>New Zealand</v>
      </c>
      <c r="D9" s="3"/>
      <c r="E9" s="3">
        <f>IFERROR(VLOOKUP(SS[[#This Row],[Player Name]],Players!A:F,6,FALSE),"")</f>
        <v>0</v>
      </c>
    </row>
    <row r="10" spans="1:5" ht="15.75">
      <c r="A10" s="3">
        <v>5</v>
      </c>
      <c r="B10" s="3" t="s">
        <v>54</v>
      </c>
      <c r="C10" s="23" t="str">
        <f>IFERROR(VLOOKUP(SS[[#This Row],[Player Name]],Players!A:D,3,0),"")</f>
        <v>England</v>
      </c>
      <c r="D10" s="3"/>
      <c r="E10" s="3">
        <f>IFERROR(VLOOKUP(SS[[#This Row],[Player Name]],Players!A:F,6,FALSE),"")</f>
        <v>0</v>
      </c>
    </row>
    <row r="11" spans="1:5" ht="15.75">
      <c r="A11" s="3">
        <v>6</v>
      </c>
      <c r="B11" s="3" t="s">
        <v>55</v>
      </c>
      <c r="C11" s="3" t="str">
        <f>IFERROR(VLOOKUP(SS[[#This Row],[Player Name]],Players!A:D,3,0),"")</f>
        <v>England</v>
      </c>
      <c r="D11" s="3"/>
      <c r="E11" s="3">
        <f>IFERROR(VLOOKUP(SS[[#This Row],[Player Name]],Players!A:F,6,FALSE),"")</f>
        <v>0</v>
      </c>
    </row>
    <row r="12" spans="1:5" ht="15.75">
      <c r="A12" s="3">
        <v>7</v>
      </c>
      <c r="B12" s="3" t="s">
        <v>22</v>
      </c>
      <c r="C12" s="3" t="str">
        <f>IFERROR(VLOOKUP(SS[[#This Row],[Player Name]],Players!A:D,3,0),"")</f>
        <v>Australia</v>
      </c>
      <c r="D12" s="3"/>
      <c r="E12" s="3">
        <f>IFERROR(VLOOKUP(SS[[#This Row],[Player Name]],Players!A:F,6,FALSE),"")</f>
        <v>0</v>
      </c>
    </row>
    <row r="13" spans="1:5" ht="15.75">
      <c r="A13" s="3">
        <v>8</v>
      </c>
      <c r="B13" s="3" t="s">
        <v>206</v>
      </c>
      <c r="C13" s="3" t="str">
        <f>IFERROR(VLOOKUP(SS[[#This Row],[Player Name]],Players!A:D,3,0),"")</f>
        <v>West Indies</v>
      </c>
      <c r="D13" s="3"/>
      <c r="E13" s="3">
        <f>IFERROR(VLOOKUP(SS[[#This Row],[Player Name]],Players!A:F,6,FALSE),"")</f>
        <v>0</v>
      </c>
    </row>
    <row r="14" spans="1:5" ht="15.75">
      <c r="A14" s="3">
        <v>9</v>
      </c>
      <c r="B14" s="3" t="s">
        <v>172</v>
      </c>
      <c r="C14" s="3" t="str">
        <f>IFERROR(VLOOKUP(SS[[#This Row],[Player Name]],Players!A:D,3,0),"")</f>
        <v>South Africa</v>
      </c>
      <c r="D14" s="3" t="s">
        <v>225</v>
      </c>
      <c r="E14" s="3">
        <f>IFERROR(VLOOKUP(SS[[#This Row],[Player Name]],Players!A:F,6,FALSE),"")</f>
        <v>0</v>
      </c>
    </row>
    <row r="15" spans="1:5" ht="15.75">
      <c r="A15" s="3">
        <v>10</v>
      </c>
      <c r="B15" s="3" t="s">
        <v>60</v>
      </c>
      <c r="C15" s="3" t="str">
        <f>IFERROR(VLOOKUP(SS[[#This Row],[Player Name]],Players!A:D,3,0),"")</f>
        <v>England</v>
      </c>
      <c r="D15" s="3"/>
      <c r="E15" s="3">
        <f>IFERROR(VLOOKUP(SS[[#This Row],[Player Name]],Players!A:F,6,FALSE),"")</f>
        <v>0</v>
      </c>
    </row>
    <row r="16" spans="1:5" ht="15.75">
      <c r="A16" s="3">
        <v>11</v>
      </c>
      <c r="B16" s="3" t="s">
        <v>175</v>
      </c>
      <c r="C16" s="3" t="str">
        <f>IFERROR(VLOOKUP(SS[[#This Row],[Player Name]],Players!A:D,3,0),"")</f>
        <v>South Africa</v>
      </c>
      <c r="D16" s="3" t="s">
        <v>226</v>
      </c>
      <c r="E16" s="3">
        <f>IFERROR(VLOOKUP(SS[[#This Row],[Player Name]],Players!A:F,6,FALSE),"")</f>
        <v>0</v>
      </c>
    </row>
    <row r="17" spans="1:5" ht="15.75">
      <c r="A17" s="3">
        <v>12</v>
      </c>
      <c r="B17" s="3" t="s">
        <v>98</v>
      </c>
      <c r="C17" s="3" t="str">
        <f>IFERROR(VLOOKUP(SS[[#This Row],[Player Name]],Players!A:D,3,0),"")</f>
        <v>Ireland</v>
      </c>
      <c r="D17" s="3"/>
      <c r="E17" s="3">
        <f>IFERROR(VLOOKUP(SS[[#This Row],[Player Name]],Players!A:F,6,FALSE),"")</f>
        <v>0</v>
      </c>
    </row>
    <row r="18" spans="1:5" ht="15.75">
      <c r="A18" s="3">
        <v>13</v>
      </c>
      <c r="B18" s="3" t="s">
        <v>76</v>
      </c>
      <c r="C18" s="3" t="str">
        <f>IFERROR(VLOOKUP(SS[[#This Row],[Player Name]],Players!A:D,3,0),"")</f>
        <v>India</v>
      </c>
      <c r="D18" s="3"/>
      <c r="E18" s="3">
        <f>IFERROR(VLOOKUP(SS[[#This Row],[Player Name]],Players!A:F,6,FALSE),"")</f>
        <v>0</v>
      </c>
    </row>
    <row r="19" spans="1:5" ht="15.75">
      <c r="A19" s="3">
        <v>14</v>
      </c>
      <c r="B19" s="3" t="s">
        <v>129</v>
      </c>
      <c r="C19" s="3" t="str">
        <f>IFERROR(VLOOKUP(SS[[#This Row],[Player Name]],Players!A:D,3,0),"")</f>
        <v>New Zealand</v>
      </c>
      <c r="D19" s="3"/>
      <c r="E19" s="3">
        <f>IFERROR(VLOOKUP(SS[[#This Row],[Player Name]],Players!A:F,6,FALSE),"")</f>
        <v>0</v>
      </c>
    </row>
    <row r="20" spans="1:5" ht="15.75">
      <c r="A20" s="3">
        <v>15</v>
      </c>
      <c r="B20" s="3" t="s">
        <v>211</v>
      </c>
      <c r="C20" s="23" t="str">
        <f>IFERROR(VLOOKUP(SS[[#This Row],[Player Name]],Players!A:D,3,0),"")</f>
        <v>West Indies</v>
      </c>
      <c r="D20" s="3"/>
      <c r="E20" s="3">
        <f>IFERROR(VLOOKUP(SS[[#This Row],[Player Name]],Players!A:F,6,FALSE),"")</f>
        <v>0</v>
      </c>
    </row>
    <row r="21" spans="1:5" ht="15.75">
      <c r="A21" s="3">
        <v>16</v>
      </c>
      <c r="B21" s="3"/>
      <c r="C21" s="23" t="str">
        <f>IFERROR(VLOOKUP(SS[[#This Row],[Player Name]],Players!A:D,3,0),"")</f>
        <v/>
      </c>
      <c r="D21" s="3"/>
      <c r="E21" s="3" t="str">
        <f>IFERROR(VLOOKUP(SS[[#This Row],[Player Name]],Players!A:F,6,FALSE),"")</f>
        <v/>
      </c>
    </row>
    <row r="22" spans="1:5" ht="15.75">
      <c r="A22" s="3">
        <v>17</v>
      </c>
      <c r="B22" s="3"/>
      <c r="C22" s="3" t="str">
        <f>IFERROR(VLOOKUP(SS[[#This Row],[Player Name]],Players!A:D,3,0),"")</f>
        <v/>
      </c>
      <c r="D22" s="3"/>
      <c r="E22" s="3" t="str">
        <f>IFERROR(VLOOKUP(SS[[#This Row],[Player Name]],Players!A:F,6,FALSE),"")</f>
        <v/>
      </c>
    </row>
    <row r="23" spans="1:5" ht="15.75">
      <c r="A23" s="3">
        <v>18</v>
      </c>
      <c r="B23" s="3"/>
      <c r="C23" s="3" t="str">
        <f>IFERROR(VLOOKUP(SS[[#This Row],[Player Name]],Players!A:D,3,0),"")</f>
        <v/>
      </c>
      <c r="D23" s="3"/>
      <c r="E23" s="3" t="str">
        <f>IFERROR(VLOOKUP(SS[[#This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49F8774F-0262-B747-A0D4-0DFFCD394070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1EC2756-B05B-6E45-BD79-B03B65274D71}">
          <x14:formula1>
            <xm:f>Players!$A$2:$A$183</xm:f>
          </x14:formula1>
          <xm:sqref>B6:B23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E4582-B8F0-8041-9C55-BE8D3E61A737}">
  <sheetPr>
    <tabColor rgb="FFFFFF00"/>
  </sheetPr>
  <dimension ref="A1:E23"/>
  <sheetViews>
    <sheetView zoomScale="160" zoomScaleNormal="160" workbookViewId="0">
      <selection activeCell="H12" sqref="H12"/>
    </sheetView>
  </sheetViews>
  <sheetFormatPr defaultColWidth="11" defaultRowHeight="15.95"/>
  <cols>
    <col min="1" max="1" width="19.375" bestFit="1" customWidth="1"/>
    <col min="2" max="2" width="22.875" bestFit="1" customWidth="1"/>
    <col min="3" max="3" width="11.125" bestFit="1" customWidth="1"/>
    <col min="4" max="4" width="24.625" bestFit="1" customWidth="1"/>
  </cols>
  <sheetData>
    <row r="1" spans="1:5" ht="15.75" customHeight="1">
      <c r="A1" s="34" t="s">
        <v>231</v>
      </c>
      <c r="B1" s="34"/>
      <c r="C1" s="34"/>
      <c r="D1" s="34"/>
      <c r="E1" s="34"/>
    </row>
    <row r="2" spans="1:5" ht="15.75" customHeight="1">
      <c r="A2" s="34"/>
      <c r="B2" s="34"/>
      <c r="C2" s="34"/>
      <c r="D2" s="34"/>
      <c r="E2" s="34"/>
    </row>
    <row r="3" spans="1:5" ht="15.75" customHeight="1">
      <c r="A3" s="34"/>
      <c r="B3" s="34"/>
      <c r="C3" s="34"/>
      <c r="D3" s="34"/>
      <c r="E3" s="34"/>
    </row>
    <row r="4" spans="1:5" ht="15.75"/>
    <row r="5" spans="1:5" ht="15.75">
      <c r="A5" s="24" t="s">
        <v>223</v>
      </c>
      <c r="B5" s="24" t="s">
        <v>0</v>
      </c>
      <c r="C5" s="24" t="s">
        <v>2</v>
      </c>
      <c r="D5" s="24" t="s">
        <v>224</v>
      </c>
      <c r="E5" s="24" t="s">
        <v>5</v>
      </c>
    </row>
    <row r="6" spans="1:5" ht="15.75">
      <c r="A6" s="3">
        <v>1</v>
      </c>
      <c r="B6" s="3" t="s">
        <v>148</v>
      </c>
      <c r="C6" s="3" t="str">
        <f>IFERROR(VLOOKUP(SGS[[#This Row],[Player Name]],Players!A:D,3,0),"")</f>
        <v>Scotland</v>
      </c>
      <c r="D6" s="3"/>
      <c r="E6" s="3" t="str">
        <f>IFERROR(VLOOKUP(SGS[[#This Row],[Player Name]],Players!A:F,6,FALSE),"")</f>
        <v>Injured</v>
      </c>
    </row>
    <row r="7" spans="1:5" ht="15.75">
      <c r="A7" s="3">
        <v>2</v>
      </c>
      <c r="B7" s="3" t="s">
        <v>6</v>
      </c>
      <c r="C7" s="3" t="str">
        <f>IFERROR(VLOOKUP(SGS[[#This Row],[Player Name]],Players!A:D,3,0),"")</f>
        <v>Australia</v>
      </c>
      <c r="D7" s="3"/>
      <c r="E7" s="3">
        <f>IFERROR(VLOOKUP(SGS[[#This Row],[Player Name]],Players!A:F,6,FALSE),"")</f>
        <v>0</v>
      </c>
    </row>
    <row r="8" spans="1:5" ht="15.75">
      <c r="A8" s="3">
        <v>3</v>
      </c>
      <c r="B8" s="3" t="s">
        <v>67</v>
      </c>
      <c r="C8" s="3" t="str">
        <f>IFERROR(VLOOKUP(SGS[[#This Row],[Player Name]],Players!A:D,3,0),"")</f>
        <v>India</v>
      </c>
      <c r="D8" s="3"/>
      <c r="E8" s="3">
        <f>IFERROR(VLOOKUP(SGS[[#This Row],[Player Name]],Players!A:F,6,FALSE),"")</f>
        <v>0</v>
      </c>
    </row>
    <row r="9" spans="1:5" ht="15.75">
      <c r="A9" s="3">
        <v>4</v>
      </c>
      <c r="B9" s="3" t="s">
        <v>118</v>
      </c>
      <c r="C9" s="3" t="str">
        <f>IFERROR(VLOOKUP(SGS[[#This Row],[Player Name]],Players!A:D,3,0),"")</f>
        <v>New Zealand</v>
      </c>
      <c r="D9" s="3"/>
      <c r="E9" s="3">
        <f>IFERROR(VLOOKUP(SGS[[#This Row],[Player Name]],Players!A:F,6,FALSE),"")</f>
        <v>0</v>
      </c>
    </row>
    <row r="10" spans="1:5" ht="15.75">
      <c r="A10" s="3">
        <v>5</v>
      </c>
      <c r="B10" s="3" t="s">
        <v>90</v>
      </c>
      <c r="C10" s="3" t="str">
        <f>IFERROR(VLOOKUP(SGS[[#This Row],[Player Name]],Players!A:D,3,0),"")</f>
        <v>Ireland</v>
      </c>
      <c r="D10" s="3"/>
      <c r="E10" s="3">
        <f>IFERROR(VLOOKUP(SGS[[#This Row],[Player Name]],Players!A:F,6,FALSE),"")</f>
        <v>0</v>
      </c>
    </row>
    <row r="11" spans="1:5" ht="15.75">
      <c r="A11" s="3">
        <v>6</v>
      </c>
      <c r="B11" s="3" t="s">
        <v>154</v>
      </c>
      <c r="C11" s="3" t="str">
        <f>IFERROR(VLOOKUP(SGS[[#This Row],[Player Name]],Players!A:D,3,0),"")</f>
        <v>Scotland</v>
      </c>
      <c r="D11" s="3"/>
      <c r="E11" s="3" t="str">
        <f>IFERROR(VLOOKUP(SGS[[#This Row],[Player Name]],Players!A:F,6,FALSE),"")</f>
        <v>Replacement</v>
      </c>
    </row>
    <row r="12" spans="1:5" ht="15.75">
      <c r="A12" s="3">
        <v>7</v>
      </c>
      <c r="B12" s="3" t="s">
        <v>184</v>
      </c>
      <c r="C12" s="23" t="str">
        <f>IFERROR(VLOOKUP(SGS[[#This Row],[Player Name]],Players!A:D,3,0),"")</f>
        <v>Sri Lanka</v>
      </c>
      <c r="D12" s="3"/>
      <c r="E12" s="3">
        <f>IFERROR(VLOOKUP(SGS[[#This Row],[Player Name]],Players!A:F,6,FALSE),"")</f>
        <v>0</v>
      </c>
    </row>
    <row r="13" spans="1:5" ht="15.75">
      <c r="A13" s="3">
        <v>8</v>
      </c>
      <c r="B13" s="3" t="s">
        <v>56</v>
      </c>
      <c r="C13" s="3" t="str">
        <f>IFERROR(VLOOKUP(SGS[[#This Row],[Player Name]],Players!A:D,3,0),"")</f>
        <v>England</v>
      </c>
      <c r="D13" s="3"/>
      <c r="E13" s="3">
        <f>IFERROR(VLOOKUP(SGS[[#This Row],[Player Name]],Players!A:F,6,FALSE),"")</f>
        <v>0</v>
      </c>
    </row>
    <row r="14" spans="1:5" ht="15.75">
      <c r="A14" s="3">
        <v>9</v>
      </c>
      <c r="B14" s="3" t="s">
        <v>96</v>
      </c>
      <c r="C14" s="3" t="str">
        <f>IFERROR(VLOOKUP(SGS[[#This Row],[Player Name]],Players!A:D,3,0),"")</f>
        <v>Ireland</v>
      </c>
      <c r="D14" s="3"/>
      <c r="E14" s="3">
        <f>IFERROR(VLOOKUP(SGS[[#This Row],[Player Name]],Players!A:F,6,FALSE),"")</f>
        <v>0</v>
      </c>
    </row>
    <row r="15" spans="1:5" ht="15.75">
      <c r="A15" s="3">
        <v>10</v>
      </c>
      <c r="B15" s="3" t="s">
        <v>173</v>
      </c>
      <c r="C15" s="3" t="str">
        <f>IFERROR(VLOOKUP(SGS[[#This Row],[Player Name]],Players!A:D,3,0),"")</f>
        <v>South Africa</v>
      </c>
      <c r="D15" s="3" t="s">
        <v>225</v>
      </c>
      <c r="E15" s="3">
        <f>IFERROR(VLOOKUP(SGS[[#This Row],[Player Name]],Players!A:F,6,FALSE),"")</f>
        <v>0</v>
      </c>
    </row>
    <row r="16" spans="1:5" ht="15.75">
      <c r="A16" s="3">
        <v>11</v>
      </c>
      <c r="B16" s="3" t="s">
        <v>77</v>
      </c>
      <c r="C16" s="3" t="str">
        <f>IFERROR(VLOOKUP(SGS[[#This Row],[Player Name]],Players!A:D,3,0),"")</f>
        <v>India</v>
      </c>
      <c r="D16" s="3"/>
      <c r="E16" s="3">
        <f>IFERROR(VLOOKUP(SGS[[#This Row],[Player Name]],Players!A:F,6,FALSE),"")</f>
        <v>0</v>
      </c>
    </row>
    <row r="17" spans="1:5" ht="15.75">
      <c r="A17" s="3">
        <v>12</v>
      </c>
      <c r="B17" s="3" t="s">
        <v>78</v>
      </c>
      <c r="C17" s="3" t="str">
        <f>IFERROR(VLOOKUP(SGS[[#This Row],[Player Name]],Players!A:D,3,0),"")</f>
        <v>India</v>
      </c>
      <c r="D17" s="3" t="s">
        <v>226</v>
      </c>
      <c r="E17" s="3">
        <f>IFERROR(VLOOKUP(SGS[[#This Row],[Player Name]],Players!A:F,6,FALSE),"")</f>
        <v>0</v>
      </c>
    </row>
    <row r="18" spans="1:5" ht="15.75">
      <c r="A18" s="3">
        <v>13</v>
      </c>
      <c r="B18" s="3" t="s">
        <v>210</v>
      </c>
      <c r="C18" s="3" t="str">
        <f>IFERROR(VLOOKUP(SGS[[#This Row],[Player Name]],Players!A:D,3,0),"")</f>
        <v>West Indies</v>
      </c>
      <c r="D18" s="3"/>
      <c r="E18" s="3">
        <f>IFERROR(VLOOKUP(SGS[[#This Row],[Player Name]],Players!A:F,6,FALSE),"")</f>
        <v>0</v>
      </c>
    </row>
    <row r="19" spans="1:5" ht="15.75">
      <c r="A19" s="3">
        <v>14</v>
      </c>
      <c r="B19" s="3"/>
      <c r="C19" s="3" t="str">
        <f>IFERROR(VLOOKUP(SGS[[#This Row],[Player Name]],Players!A:D,3,0),"")</f>
        <v/>
      </c>
      <c r="D19" s="3"/>
      <c r="E19" s="3" t="str">
        <f>IFERROR(VLOOKUP(SGS[[#This Row],[Player Name]],Players!A:F,6,FALSE),"")</f>
        <v/>
      </c>
    </row>
    <row r="20" spans="1:5" ht="15.75">
      <c r="A20" s="3">
        <v>15</v>
      </c>
      <c r="B20" s="3"/>
      <c r="C20" s="3" t="str">
        <f>IFERROR(VLOOKUP(SGS[[#This Row],[Player Name]],Players!A:D,3,0),"")</f>
        <v/>
      </c>
      <c r="D20" s="3"/>
      <c r="E20" s="3" t="str">
        <f>IFERROR(VLOOKUP(SGS[[#This Row],[Player Name]],Players!A:F,6,FALSE),"")</f>
        <v/>
      </c>
    </row>
    <row r="21" spans="1:5" ht="15.75">
      <c r="A21" s="3">
        <v>16</v>
      </c>
      <c r="B21" s="3"/>
      <c r="C21" s="3" t="str">
        <f>IFERROR(VLOOKUP(SGS[[#This Row],[Player Name]],Players!A:D,3,0),"")</f>
        <v/>
      </c>
      <c r="D21" s="3"/>
      <c r="E21" s="3" t="str">
        <f>IFERROR(VLOOKUP(SGS[[#This Row],[Player Name]],Players!A:F,6,FALSE),"")</f>
        <v/>
      </c>
    </row>
    <row r="22" spans="1:5" ht="15.75">
      <c r="A22" s="3">
        <v>17</v>
      </c>
      <c r="B22" s="3"/>
      <c r="C22" s="23" t="str">
        <f>IFERROR(VLOOKUP(SGS[[#This Row],[Player Name]],Players!A:D,3,0),"")</f>
        <v/>
      </c>
      <c r="D22" s="3"/>
      <c r="E22" s="3" t="str">
        <f>IFERROR(VLOOKUP(SGS[[#This Row],[Player Name]],Players!A:F,6,FALSE),"")</f>
        <v/>
      </c>
    </row>
    <row r="23" spans="1:5" ht="15.75">
      <c r="A23" s="3">
        <v>18</v>
      </c>
      <c r="B23" s="3"/>
      <c r="C23" s="23" t="str">
        <f>IFERROR(VLOOKUP(SGS[[#This Row],[Player Name]],Players!A:D,3,0),"")</f>
        <v/>
      </c>
      <c r="D23" s="3"/>
      <c r="E23" s="3" t="str">
        <f>IFERROR(VLOOKUP(SGS[[#This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97976402-F241-C347-AB16-6F7C94EE9217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6FA05C-0077-3B42-8DF8-DE46C05DBD3F}">
          <x14:formula1>
            <xm:f>Players!$A$2:$A$183</xm:f>
          </x14:formula1>
          <xm:sqref>B6:B23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75295-3507-D241-BEB6-6189BD4BB574}">
  <sheetPr>
    <tabColor rgb="FF046307"/>
  </sheetPr>
  <dimension ref="A1:E23"/>
  <sheetViews>
    <sheetView zoomScale="160" zoomScaleNormal="160" workbookViewId="0">
      <selection activeCell="B26" sqref="B26"/>
    </sheetView>
  </sheetViews>
  <sheetFormatPr defaultColWidth="11" defaultRowHeight="15.95"/>
  <cols>
    <col min="1" max="1" width="19.375" bestFit="1" customWidth="1"/>
    <col min="2" max="2" width="15.375" bestFit="1" customWidth="1"/>
    <col min="3" max="3" width="11.125" bestFit="1" customWidth="1"/>
    <col min="4" max="4" width="24.625" bestFit="1" customWidth="1"/>
  </cols>
  <sheetData>
    <row r="1" spans="1:5" ht="15.75" customHeight="1">
      <c r="A1" s="35" t="s">
        <v>232</v>
      </c>
      <c r="B1" s="35"/>
      <c r="C1" s="35"/>
      <c r="D1" s="35"/>
      <c r="E1" s="35"/>
    </row>
    <row r="2" spans="1:5" ht="15.75" customHeight="1">
      <c r="A2" s="35"/>
      <c r="B2" s="35"/>
      <c r="C2" s="35"/>
      <c r="D2" s="35"/>
      <c r="E2" s="35"/>
    </row>
    <row r="3" spans="1:5" ht="15.75" customHeight="1">
      <c r="A3" s="35"/>
      <c r="B3" s="35"/>
      <c r="C3" s="35"/>
      <c r="D3" s="35"/>
      <c r="E3" s="35"/>
    </row>
    <row r="4" spans="1:5" ht="15.75"/>
    <row r="5" spans="1:5" ht="15.75">
      <c r="A5" s="27" t="s">
        <v>223</v>
      </c>
      <c r="B5" s="27" t="s">
        <v>0</v>
      </c>
      <c r="C5" s="27" t="s">
        <v>2</v>
      </c>
      <c r="D5" s="27" t="s">
        <v>224</v>
      </c>
      <c r="E5" s="27" t="s">
        <v>5</v>
      </c>
    </row>
    <row r="6" spans="1:5" ht="15.75">
      <c r="A6" s="3">
        <v>1</v>
      </c>
      <c r="B6" s="3" t="s">
        <v>199</v>
      </c>
      <c r="C6" s="3" t="str">
        <f>IFERROR(VLOOKUP(KT[[#This Row],[Player Name]],Players!A:D,3,0),"")</f>
        <v>West Indies</v>
      </c>
      <c r="D6" s="3"/>
      <c r="E6" s="3">
        <f>IFERROR(VLOOKUP(KT[[#This Row],[Player Name]],Players!A:F,6,FALSE),"")</f>
        <v>0</v>
      </c>
    </row>
    <row r="7" spans="1:5" ht="15.75">
      <c r="A7" s="3">
        <v>2</v>
      </c>
      <c r="B7" s="3" t="s">
        <v>87</v>
      </c>
      <c r="C7" s="3" t="str">
        <f>IFERROR(VLOOKUP(KT[[#This Row],[Player Name]],Players!A:D,3,0),"")</f>
        <v>Ireland</v>
      </c>
      <c r="D7" s="3"/>
      <c r="E7" s="3">
        <f>IFERROR(VLOOKUP(KT[[#This Row],[Player Name]],Players!A:F,6,FALSE),"")</f>
        <v>0</v>
      </c>
    </row>
    <row r="8" spans="1:5" ht="15.75">
      <c r="A8" s="3">
        <v>3</v>
      </c>
      <c r="B8" s="3" t="s">
        <v>165</v>
      </c>
      <c r="C8" s="3" t="str">
        <f>IFERROR(VLOOKUP(KT[[#This Row],[Player Name]],Players!A:D,3,0),"")</f>
        <v>South Africa</v>
      </c>
      <c r="D8" s="3"/>
      <c r="E8" s="3">
        <f>IFERROR(VLOOKUP(KT[[#This Row],[Player Name]],Players!A:F,6,FALSE),"")</f>
        <v>0</v>
      </c>
    </row>
    <row r="9" spans="1:5" ht="15.75">
      <c r="A9" s="3">
        <v>4</v>
      </c>
      <c r="B9" s="3" t="s">
        <v>134</v>
      </c>
      <c r="C9" s="3" t="str">
        <f>IFERROR(VLOOKUP(KT[[#This Row],[Player Name]],Players!A:D,3,0),"")</f>
        <v>Pakistan</v>
      </c>
      <c r="D9" s="3"/>
      <c r="E9" s="3">
        <f>IFERROR(VLOOKUP(KT[[#This Row],[Player Name]],Players!A:F,6,FALSE),"")</f>
        <v>0</v>
      </c>
    </row>
    <row r="10" spans="1:5" ht="15.75">
      <c r="A10" s="3">
        <v>5</v>
      </c>
      <c r="B10" s="3" t="s">
        <v>16</v>
      </c>
      <c r="C10" s="3" t="str">
        <f>IFERROR(VLOOKUP(KT[[#This Row],[Player Name]],Players!A:D,3,0),"")</f>
        <v>Australia</v>
      </c>
      <c r="D10" s="3" t="s">
        <v>225</v>
      </c>
      <c r="E10" s="3">
        <f>IFERROR(VLOOKUP(KT[[#This Row],[Player Name]],Players!A:F,6,FALSE),"")</f>
        <v>0</v>
      </c>
    </row>
    <row r="11" spans="1:5" ht="15.75">
      <c r="A11" s="3">
        <v>6</v>
      </c>
      <c r="B11" s="3" t="s">
        <v>120</v>
      </c>
      <c r="C11" s="3" t="str">
        <f>IFERROR(VLOOKUP(KT[[#This Row],[Player Name]],Players!A:D,3,0),"")</f>
        <v>New Zealand</v>
      </c>
      <c r="D11" s="3"/>
      <c r="E11" s="3">
        <f>IFERROR(VLOOKUP(KT[[#This Row],[Player Name]],Players!A:F,6,FALSE),"")</f>
        <v>0</v>
      </c>
    </row>
    <row r="12" spans="1:5" ht="15.75">
      <c r="A12" s="3">
        <v>7</v>
      </c>
      <c r="B12" s="3" t="s">
        <v>69</v>
      </c>
      <c r="C12" s="3" t="str">
        <f>IFERROR(VLOOKUP(KT[[#This Row],[Player Name]],Players!A:D,3,0),"")</f>
        <v>India</v>
      </c>
      <c r="D12" s="3" t="s">
        <v>226</v>
      </c>
      <c r="E12" s="3">
        <f>IFERROR(VLOOKUP(KT[[#This Row],[Player Name]],Players!A:F,6,FALSE),"")</f>
        <v>0</v>
      </c>
    </row>
    <row r="13" spans="1:5" ht="15.75">
      <c r="A13" s="3">
        <v>8</v>
      </c>
      <c r="B13" s="3" t="s">
        <v>171</v>
      </c>
      <c r="C13" s="3" t="str">
        <f>IFERROR(VLOOKUP(KT[[#This Row],[Player Name]],Players!A:D,3,0),"")</f>
        <v>South Africa</v>
      </c>
      <c r="D13" s="3"/>
      <c r="E13" s="3">
        <f>IFERROR(VLOOKUP(KT[[#This Row],[Player Name]],Players!A:F,6,FALSE),"")</f>
        <v>0</v>
      </c>
    </row>
    <row r="14" spans="1:5" ht="15.75">
      <c r="A14" s="3">
        <v>9</v>
      </c>
      <c r="B14" s="3" t="s">
        <v>174</v>
      </c>
      <c r="C14" s="3" t="str">
        <f>IFERROR(VLOOKUP(KT[[#This Row],[Player Name]],Players!A:D,3,0),"")</f>
        <v>South Africa</v>
      </c>
      <c r="D14" s="3"/>
      <c r="E14" s="3">
        <f>IFERROR(VLOOKUP(KT[[#This Row],[Player Name]],Players!A:F,6,FALSE),"")</f>
        <v>0</v>
      </c>
    </row>
    <row r="15" spans="1:5" ht="15.75">
      <c r="A15" s="3">
        <v>10</v>
      </c>
      <c r="B15" s="3" t="s">
        <v>29</v>
      </c>
      <c r="C15" s="3" t="str">
        <f>IFERROR(VLOOKUP(KT[[#This Row],[Player Name]],Players!A:D,3,0),"")</f>
        <v>Australia</v>
      </c>
      <c r="D15" s="3"/>
      <c r="E15" s="3">
        <f>IFERROR(VLOOKUP(KT[[#This Row],[Player Name]],Players!A:F,6,FALSE),"")</f>
        <v>0</v>
      </c>
    </row>
    <row r="16" spans="1:5" ht="15.75">
      <c r="A16" s="3">
        <v>11</v>
      </c>
      <c r="B16" s="3" t="s">
        <v>75</v>
      </c>
      <c r="C16" s="3" t="str">
        <f>IFERROR(VLOOKUP(KT[[#This Row],[Player Name]],Players!A:D,3,0),"")</f>
        <v>India</v>
      </c>
      <c r="D16" s="3"/>
      <c r="E16" s="3">
        <f>IFERROR(VLOOKUP(KT[[#This Row],[Player Name]],Players!A:F,6,FALSE),"")</f>
        <v>0</v>
      </c>
    </row>
    <row r="17" spans="1:5" ht="15.75">
      <c r="A17" s="3">
        <v>12</v>
      </c>
      <c r="B17" s="3" t="s">
        <v>144</v>
      </c>
      <c r="C17" s="23" t="str">
        <f>IFERROR(VLOOKUP(KT[[#This Row],[Player Name]],Players!A:D,3,0),"")</f>
        <v>Pakistan</v>
      </c>
      <c r="D17" s="3"/>
      <c r="E17" s="3">
        <f>IFERROR(VLOOKUP(KT[[#This Row],[Player Name]],Players!A:F,6,FALSE),"")</f>
        <v>0</v>
      </c>
    </row>
    <row r="18" spans="1:5" ht="15.75">
      <c r="A18" s="3">
        <v>13</v>
      </c>
      <c r="B18" s="3" t="s">
        <v>131</v>
      </c>
      <c r="C18" s="3" t="str">
        <f>IFERROR(VLOOKUP(KT[[#This Row],[Player Name]],Players!A:D,3,0),"")</f>
        <v>New Zealand</v>
      </c>
      <c r="D18" s="3"/>
      <c r="E18" s="3">
        <f>IFERROR(VLOOKUP(KT[[#This Row],[Player Name]],Players!A:F,6,FALSE),"")</f>
        <v>0</v>
      </c>
    </row>
    <row r="19" spans="1:5" ht="15.75">
      <c r="A19" s="3">
        <v>14</v>
      </c>
      <c r="B19" s="3"/>
      <c r="C19" s="3" t="str">
        <f>IFERROR(VLOOKUP(KT[[#This Row],[Player Name]],Players!A:D,3,0),"")</f>
        <v/>
      </c>
      <c r="D19" s="3"/>
      <c r="E19" s="3" t="str">
        <f>IFERROR(VLOOKUP(KT[[#This Row],[Player Name]],Players!A:F,6,FALSE),"")</f>
        <v/>
      </c>
    </row>
    <row r="20" spans="1:5" ht="15.75">
      <c r="A20" s="3">
        <v>15</v>
      </c>
      <c r="B20" s="3"/>
      <c r="C20" s="3" t="str">
        <f>IFERROR(VLOOKUP(KT[[#This Row],[Player Name]],Players!A:D,3,0),"")</f>
        <v/>
      </c>
      <c r="D20" s="3"/>
      <c r="E20" s="3" t="str">
        <f>IFERROR(VLOOKUP(KT[[#This Row],[Player Name]],Players!A:F,6,FALSE),"")</f>
        <v/>
      </c>
    </row>
    <row r="21" spans="1:5" ht="15.75">
      <c r="A21" s="3">
        <v>16</v>
      </c>
      <c r="B21" s="3"/>
      <c r="C21" s="23" t="str">
        <f>IFERROR(VLOOKUP(KT[[#This Row],[Player Name]],Players!A:D,3,0),"")</f>
        <v/>
      </c>
      <c r="D21" s="3"/>
      <c r="E21" s="3" t="str">
        <f>IFERROR(VLOOKUP(KT[[#This Row],[Player Name]],Players!A:F,6,FALSE),"")</f>
        <v/>
      </c>
    </row>
    <row r="22" spans="1:5" ht="15.75">
      <c r="A22" s="3">
        <v>17</v>
      </c>
      <c r="B22" s="3"/>
      <c r="C22" s="23" t="str">
        <f>IFERROR(VLOOKUP(KT[[#This Row],[Player Name]],Players!A:D,3,0),"")</f>
        <v/>
      </c>
      <c r="D22" s="3"/>
      <c r="E22" s="3" t="str">
        <f>IFERROR(VLOOKUP(KT[[#This Row],[Player Name]],Players!A:F,6,FALSE),"")</f>
        <v/>
      </c>
    </row>
    <row r="23" spans="1:5" ht="15.75">
      <c r="A23" s="3">
        <v>18</v>
      </c>
      <c r="B23" s="3"/>
      <c r="C23" s="3" t="str">
        <f>IFERROR(VLOOKUP(KT[[#This Row],[Player Name]],Players!A:D,3,0),"")</f>
        <v/>
      </c>
      <c r="D23" s="3"/>
      <c r="E23" s="3" t="str">
        <f>IFERROR(VLOOKUP(KT[[#This Row],[Player Name]],Players!A:F,6,FALSE),"")</f>
        <v/>
      </c>
    </row>
  </sheetData>
  <mergeCells count="1">
    <mergeCell ref="A1:E3"/>
  </mergeCells>
  <dataValidations count="1">
    <dataValidation type="list" allowBlank="1" showInputMessage="1" showErrorMessage="1" sqref="D6:D23" xr:uid="{EEC09B6C-3F7E-7949-8628-B712B6AF6D47}">
      <formula1>"Captain,Vice-Captain,None"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307CA3B-82D8-A448-BD97-BBAFE8855CF8}">
          <x14:formula1>
            <xm:f>Players!$A$2:$A$183</xm:f>
          </x14:formula1>
          <xm:sqref>B6:B23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Kishan Polekar</dc:creator>
  <cp:keywords/>
  <dc:description/>
  <cp:lastModifiedBy/>
  <cp:revision/>
  <dcterms:created xsi:type="dcterms:W3CDTF">2026-05-25T21:20:54Z</dcterms:created>
  <dcterms:modified xsi:type="dcterms:W3CDTF">2026-06-20T15:51:28Z</dcterms:modified>
  <cp:category/>
  <cp:contentStatus/>
</cp:coreProperties>
</file>